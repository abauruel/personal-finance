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8.xml"/>
  <Override ContentType="application/vnd.openxmlformats-officedocument.spreadsheetml.pivotCacheDefinition+xml" PartName="/xl/pivotCache/pivotCacheDefinition26.xml"/>
  <Override ContentType="application/vnd.openxmlformats-officedocument.spreadsheetml.pivotCacheDefinition+xml" PartName="/xl/pivotCache/pivotCacheDefinition34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69.xml"/>
  <Override ContentType="application/vnd.openxmlformats-officedocument.spreadsheetml.pivotCacheDefinition+xml" PartName="/xl/pivotCache/pivotCacheDefinition77.xml"/>
  <Override ContentType="application/vnd.openxmlformats-officedocument.spreadsheetml.pivotCacheDefinition+xml" PartName="/xl/pivotCache/pivotCacheDefinition95.xml"/>
  <Override ContentType="application/vnd.openxmlformats-officedocument.spreadsheetml.pivotCacheDefinition+xml" PartName="/xl/pivotCache/pivotCacheDefinition60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42.xml"/>
  <Override ContentType="application/vnd.openxmlformats-officedocument.spreadsheetml.pivotCacheDefinition+xml" PartName="/xl/pivotCache/pivotCacheDefinition93.xml"/>
  <Override ContentType="application/vnd.openxmlformats-officedocument.spreadsheetml.pivotCacheDefinition+xml" PartName="/xl/pivotCache/pivotCacheDefinition28.xml"/>
  <Override ContentType="application/vnd.openxmlformats-officedocument.spreadsheetml.pivotCacheDefinition+xml" PartName="/xl/pivotCache/pivotCacheDefinition50.xml"/>
  <Override ContentType="application/vnd.openxmlformats-officedocument.spreadsheetml.pivotCacheDefinition+xml" PartName="/xl/pivotCache/pivotCacheDefinition16.xml"/>
  <Override ContentType="application/vnd.openxmlformats-officedocument.spreadsheetml.pivotCacheDefinition+xml" PartName="/xl/pivotCache/pivotCacheDefinition59.xml"/>
  <Override ContentType="application/vnd.openxmlformats-officedocument.spreadsheetml.pivotCacheDefinition+xml" PartName="/xl/pivotCache/pivotCacheDefinition85.xml"/>
  <Override ContentType="application/vnd.openxmlformats-officedocument.spreadsheetml.pivotCacheDefinition+xml" PartName="/xl/pivotCache/pivotCacheDefinition67.xml"/>
  <Override ContentType="application/vnd.openxmlformats-officedocument.spreadsheetml.pivotCacheDefinition+xml" PartName="/xl/pivotCache/pivotCacheDefinition24.xml"/>
  <Override ContentType="application/vnd.openxmlformats-officedocument.spreadsheetml.pivotCacheDefinition+xml" PartName="/xl/pivotCache/pivotCacheDefinition97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54.xml"/>
  <Override ContentType="application/vnd.openxmlformats-officedocument.spreadsheetml.pivotCacheDefinition+xml" PartName="/xl/pivotCache/pivotCacheDefinition79.xml"/>
  <Override ContentType="application/vnd.openxmlformats-officedocument.spreadsheetml.pivotCacheDefinition+xml" PartName="/xl/pivotCache/pivotCacheDefinition49.xml"/>
  <Override ContentType="application/vnd.openxmlformats-officedocument.spreadsheetml.pivotCacheDefinition+xml" PartName="/xl/pivotCache/pivotCacheDefinition36.xml"/>
  <Override ContentType="application/vnd.openxmlformats-officedocument.spreadsheetml.pivotCacheDefinition+xml" PartName="/xl/pivotCache/pivotCacheDefinition52.xml"/>
  <Override ContentType="application/vnd.openxmlformats-officedocument.spreadsheetml.pivotCacheDefinition+xml" PartName="/xl/pivotCache/pivotCacheDefinition40.xml"/>
  <Override ContentType="application/vnd.openxmlformats-officedocument.spreadsheetml.pivotCacheDefinition+xml" PartName="/xl/pivotCache/pivotCacheDefinition83.xml"/>
  <Override ContentType="application/vnd.openxmlformats-officedocument.spreadsheetml.pivotCacheDefinition+xml" PartName="/xl/pivotCache/pivotCacheDefinition22.xml"/>
  <Override ContentType="application/vnd.openxmlformats-officedocument.spreadsheetml.pivotCacheDefinition+xml" PartName="/xl/pivotCache/pivotCacheDefinition70.xml"/>
  <Override ContentType="application/vnd.openxmlformats-officedocument.spreadsheetml.pivotCacheDefinition+xml" PartName="/xl/pivotCache/pivotCacheDefinition73.xml"/>
  <Override ContentType="application/vnd.openxmlformats-officedocument.spreadsheetml.pivotCacheDefinition+xml" PartName="/xl/pivotCache/pivotCacheDefinition56.xml"/>
  <Override ContentType="application/vnd.openxmlformats-officedocument.spreadsheetml.pivotCacheDefinition+xml" PartName="/xl/pivotCache/pivotCacheDefinition81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13.xml"/>
  <Override ContentType="application/vnd.openxmlformats-officedocument.spreadsheetml.pivotCacheDefinition+xml" PartName="/xl/pivotCache/pivotCacheDefinition90.xml"/>
  <Override ContentType="application/vnd.openxmlformats-officedocument.spreadsheetml.pivotCacheDefinition+xml" PartName="/xl/pivotCache/pivotCacheDefinition64.xml"/>
  <Override ContentType="application/vnd.openxmlformats-officedocument.spreadsheetml.pivotCacheDefinition+xml" PartName="/xl/pivotCache/pivotCacheDefinition21.xml"/>
  <Override ContentType="application/vnd.openxmlformats-officedocument.spreadsheetml.pivotCacheDefinition+xml" PartName="/xl/pivotCache/pivotCacheDefinition47.xml"/>
  <Override ContentType="application/vnd.openxmlformats-officedocument.spreadsheetml.pivotCacheDefinition+xml" PartName="/xl/pivotCache/pivotCacheDefinition99.xml"/>
  <Override ContentType="application/vnd.openxmlformats-officedocument.spreadsheetml.pivotCacheDefinition+xml" PartName="/xl/pivotCache/pivotCacheDefinition30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92.xml"/>
  <Override ContentType="application/vnd.openxmlformats-officedocument.spreadsheetml.pivotCacheDefinition+xml" PartName="/xl/pivotCache/pivotCacheDefinition62.xml"/>
  <Override ContentType="application/vnd.openxmlformats-officedocument.spreadsheetml.pivotCacheDefinition+xml" PartName="/xl/pivotCache/pivotCacheDefinition15.xml"/>
  <Override ContentType="application/vnd.openxmlformats-officedocument.spreadsheetml.pivotCacheDefinition+xml" PartName="/xl/pivotCache/pivotCacheDefinition58.xml"/>
  <Override ContentType="application/vnd.openxmlformats-officedocument.spreadsheetml.pivotCacheDefinition+xml" PartName="/xl/pivotCache/pivotCacheDefinition88.xml"/>
  <Override ContentType="application/vnd.openxmlformats-officedocument.spreadsheetml.pivotCacheDefinition+xml" PartName="/xl/pivotCache/pivotCacheDefinition75.xml"/>
  <Override ContentType="application/vnd.openxmlformats-officedocument.spreadsheetml.pivotCacheDefinition+xml" PartName="/xl/pivotCache/pivotCacheDefinition45.xml"/>
  <Override ContentType="application/vnd.openxmlformats-officedocument.spreadsheetml.pivotCacheDefinition+xml" PartName="/xl/pivotCache/pivotCacheDefinition32.xml"/>
  <Override ContentType="application/vnd.openxmlformats-officedocument.spreadsheetml.pivotCacheDefinition+xml" PartName="/xl/pivotCache/pivotCacheDefinition39.xml"/>
  <Override ContentType="application/vnd.openxmlformats-officedocument.spreadsheetml.pivotCacheDefinition+xml" PartName="/xl/pivotCache/pivotCacheDefinition2.xml"/>
  <Override ContentType="application/vnd.openxmlformats-officedocument.spreadsheetml.pivotCacheDefinition+xml" PartName="/xl/pivotCache/pivotCacheDefinition43.xml"/>
  <Override ContentType="application/vnd.openxmlformats-officedocument.spreadsheetml.pivotCacheDefinition+xml" PartName="/xl/pivotCache/pivotCacheDefinition51.xml"/>
  <Override ContentType="application/vnd.openxmlformats-officedocument.spreadsheetml.pivotCacheDefinition+xml" PartName="/xl/pivotCache/pivotCacheDefinition78.xml"/>
  <Override ContentType="application/vnd.openxmlformats-officedocument.spreadsheetml.pivotCacheDefinition+xml" PartName="/xl/pivotCache/pivotCacheDefinition19.xml"/>
  <Override ContentType="application/vnd.openxmlformats-officedocument.spreadsheetml.pivotCacheDefinition+xml" PartName="/xl/pivotCache/pivotCacheDefinition86.xml"/>
  <Override ContentType="application/vnd.openxmlformats-officedocument.spreadsheetml.pivotCacheDefinition+xml" PartName="/xl/pivotCache/pivotCacheDefinition68.xml"/>
  <Override ContentType="application/vnd.openxmlformats-officedocument.spreadsheetml.pivotCacheDefinition+xml" PartName="/xl/pivotCache/pivotCacheDefinition25.xml"/>
  <Override ContentType="application/vnd.openxmlformats-officedocument.spreadsheetml.pivotCacheDefinition+xml" PartName="/xl/pivotCache/pivotCacheDefinition94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76.xml"/>
  <Override ContentType="application/vnd.openxmlformats-officedocument.spreadsheetml.pivotCacheDefinition+xml" PartName="/xl/pivotCache/pivotCacheDefinition33.xml"/>
  <Override ContentType="application/vnd.openxmlformats-officedocument.spreadsheetml.pivotCacheDefinition+xml" PartName="/xl/pivotCache/pivotCacheDefinition37.xml"/>
  <Override ContentType="application/vnd.openxmlformats-officedocument.spreadsheetml.pivotCacheDefinition+xml" PartName="/xl/pivotCache/pivotCacheDefinition2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41.xml"/>
  <Override ContentType="application/vnd.openxmlformats-officedocument.spreadsheetml.pivotCacheDefinition+xml" PartName="/xl/pivotCache/pivotCacheDefinition84.xml"/>
  <Override ContentType="application/vnd.openxmlformats-officedocument.spreadsheetml.pivotCacheDefinition+xml" PartName="/xl/pivotCache/pivotCacheDefinition7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17.xml"/>
  <Override ContentType="application/vnd.openxmlformats-officedocument.spreadsheetml.pivotCacheDefinition+xml" PartName="/xl/pivotCache/pivotCacheDefinition23.xml"/>
  <Override ContentType="application/vnd.openxmlformats-officedocument.spreadsheetml.pivotCacheDefinition+xml" PartName="/xl/pivotCache/pivotCacheDefinition53.xml"/>
  <Override ContentType="application/vnd.openxmlformats-officedocument.spreadsheetml.pivotCacheDefinition+xml" PartName="/xl/pivotCache/pivotCacheDefinition66.xml"/>
  <Override ContentType="application/vnd.openxmlformats-officedocument.spreadsheetml.pivotCacheDefinition+xml" PartName="/xl/pivotCache/pivotCacheDefinition35.xml"/>
  <Override ContentType="application/vnd.openxmlformats-officedocument.spreadsheetml.pivotCacheDefinition+xml" PartName="/xl/pivotCache/pivotCacheDefinition96.xml"/>
  <Override ContentType="application/vnd.openxmlformats-officedocument.spreadsheetml.pivotCacheDefinition+xml" PartName="/xl/pivotCache/pivotCacheDefinition48.xml"/>
  <Override ContentType="application/vnd.openxmlformats-officedocument.spreadsheetml.pivotCacheDefinition+xml" PartName="/xl/pivotCache/pivotCacheDefinition65.xml"/>
  <Override ContentType="application/vnd.openxmlformats-officedocument.spreadsheetml.pivotCacheDefinition+xml" PartName="/xl/pivotCache/pivotCacheDefinition82.xml"/>
  <Override ContentType="application/vnd.openxmlformats-officedocument.spreadsheetml.pivotCacheDefinition+xml" PartName="/xl/pivotCache/pivotCacheDefinition55.xml"/>
  <Override ContentType="application/vnd.openxmlformats-officedocument.spreadsheetml.pivotCacheDefinition+xml" PartName="/xl/pivotCache/pivotCacheDefinition80.xml"/>
  <Override ContentType="application/vnd.openxmlformats-officedocument.spreadsheetml.pivotCacheDefinition+xml" PartName="/xl/pivotCache/pivotCacheDefinition98.xml"/>
  <Override ContentType="application/vnd.openxmlformats-officedocument.spreadsheetml.pivotCacheDefinition+xml" PartName="/xl/pivotCache/pivotCacheDefinition38.xml"/>
  <Override ContentType="application/vnd.openxmlformats-officedocument.spreadsheetml.pivotCacheDefinition+xml" PartName="/xl/pivotCache/pivotCacheDefinition63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89.xml"/>
  <Override ContentType="application/vnd.openxmlformats-officedocument.spreadsheetml.pivotCacheDefinition+xml" PartName="/xl/pivotCache/pivotCacheDefinition72.xml"/>
  <Override ContentType="application/vnd.openxmlformats-officedocument.spreadsheetml.pivotCacheDefinition+xml" PartName="/xl/pivotCache/pivotCacheDefinition20.xml"/>
  <Override ContentType="application/vnd.openxmlformats-officedocument.spreadsheetml.pivotCacheDefinition+xml" PartName="/xl/pivotCache/pivotCacheDefinition46.xml"/>
  <Override ContentType="application/vnd.openxmlformats-officedocument.spreadsheetml.pivotCacheDefinition+xml" PartName="/xl/pivotCache/pivotCacheDefinition31.xml"/>
  <Override ContentType="application/vnd.openxmlformats-officedocument.spreadsheetml.pivotCacheDefinition+xml" PartName="/xl/pivotCache/pivotCacheDefinition74.xml"/>
  <Override ContentType="application/vnd.openxmlformats-officedocument.spreadsheetml.pivotCacheDefinition+xml" PartName="/xl/pivotCache/pivotCacheDefinition61.xml"/>
  <Override ContentType="application/vnd.openxmlformats-officedocument.spreadsheetml.pivotCacheDefinition+xml" PartName="/xl/pivotCache/pivotCacheDefinition14.xml"/>
  <Override ContentType="application/vnd.openxmlformats-officedocument.spreadsheetml.pivotCacheDefinition+xml" PartName="/xl/pivotCache/pivotCacheDefinition27.xml"/>
  <Override ContentType="application/vnd.openxmlformats-officedocument.spreadsheetml.pivotCacheDefinition+xml" PartName="/xl/pivotCache/pivotCacheDefinition91.xml"/>
  <Override ContentType="application/vnd.openxmlformats-officedocument.spreadsheetml.pivotCacheDefinition+xml" PartName="/xl/pivotCache/pivotCacheDefinition57.xml"/>
  <Override ContentType="application/vnd.openxmlformats-officedocument.spreadsheetml.pivotCacheDefinition+xml" PartName="/xl/pivotCache/pivotCacheDefinition87.xml"/>
  <Override ContentType="application/vnd.openxmlformats-officedocument.spreadsheetml.pivotCacheDefinition+xml" PartName="/xl/pivotCache/pivotCacheDefinition44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50.xml"/>
  <Override ContentType="application/vnd.openxmlformats-officedocument.spreadsheetml.pivotTable+xml" PartName="/xl/pivotTables/pivotTable93.xml"/>
  <Override ContentType="application/vnd.openxmlformats-officedocument.spreadsheetml.pivotTable+xml" PartName="/xl/pivotTables/pivotTable42.xml"/>
  <Override ContentType="application/vnd.openxmlformats-officedocument.spreadsheetml.pivotTable+xml" PartName="/xl/pivotTables/pivotTable85.xml"/>
  <Override ContentType="application/vnd.openxmlformats-officedocument.spreadsheetml.pivotTable+xml" PartName="/xl/pivotTables/pivotTable6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67.xml"/>
  <Override ContentType="application/vnd.openxmlformats-officedocument.spreadsheetml.pivotTable+xml" PartName="/xl/pivotTables/pivotTable75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83.xml"/>
  <Override ContentType="application/vnd.openxmlformats-officedocument.spreadsheetml.pivotTable+xml" PartName="/xl/pivotTables/pivotTable40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95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52.xml"/>
  <Override ContentType="application/vnd.openxmlformats-officedocument.spreadsheetml.pivotTable+xml" PartName="/xl/pivotTables/pivotTable65.xml"/>
  <Override ContentType="application/vnd.openxmlformats-officedocument.spreadsheetml.pivotTable+xml" PartName="/xl/pivotTables/pivotTable81.xml"/>
  <Override ContentType="application/vnd.openxmlformats-officedocument.spreadsheetml.pivotTable+xml" PartName="/xl/pivotTables/pivotTable59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77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98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55.xml"/>
  <Override ContentType="application/vnd.openxmlformats-officedocument.spreadsheetml.pivotTable+xml" PartName="/xl/pivotTables/pivotTable80.xml"/>
  <Override ContentType="application/vnd.openxmlformats-officedocument.spreadsheetml.pivotTable+xml" PartName="/xl/pivotTables/pivotTable47.xml"/>
  <Override ContentType="application/vnd.openxmlformats-officedocument.spreadsheetml.pivotTable+xml" PartName="/xl/pivotTables/pivotTable72.xml"/>
  <Override ContentType="application/vnd.openxmlformats-officedocument.spreadsheetml.pivotTable+xml" PartName="/xl/pivotTables/pivotTable46.xml"/>
  <Override ContentType="application/vnd.openxmlformats-officedocument.spreadsheetml.pivotTable+xml" PartName="/xl/pivotTables/pivotTable89.xml"/>
  <Override ContentType="application/vnd.openxmlformats-officedocument.spreadsheetml.pivotTable+xml" PartName="/xl/pivotTables/pivotTable63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0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53.xml"/>
  <Override ContentType="application/vnd.openxmlformats-officedocument.spreadsheetml.pivotTable+xml" PartName="/xl/pivotTables/pivotTable9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79.xml"/>
  <Override ContentType="application/vnd.openxmlformats-officedocument.spreadsheetml.pivotTable+xml" PartName="/xl/pivotTables/pivotTable49.xml"/>
  <Override ContentType="application/vnd.openxmlformats-officedocument.spreadsheetml.pivotTable+xml" PartName="/xl/pivotTables/pivotTable74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6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57.xml"/>
  <Override ContentType="application/vnd.openxmlformats-officedocument.spreadsheetml.pivotTable+xml" PartName="/xl/pivotTables/pivotTable87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44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91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68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76.xml"/>
  <Override ContentType="application/vnd.openxmlformats-officedocument.spreadsheetml.pivotTable+xml" PartName="/xl/pivotTables/pivotTable41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92.xml"/>
  <Override ContentType="application/vnd.openxmlformats-officedocument.spreadsheetml.pivotTable+xml" PartName="/xl/pivotTables/pivotTable84.xml"/>
  <Override ContentType="application/vnd.openxmlformats-officedocument.spreadsheetml.pivotTable+xml" PartName="/xl/pivotTables/pivotTable66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82.xml"/>
  <Override ContentType="application/vnd.openxmlformats-officedocument.spreadsheetml.pivotTable+xml" PartName="/xl/pivotTables/pivotTable5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78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94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64.xml"/>
  <Override ContentType="application/vnd.openxmlformats-officedocument.spreadsheetml.pivotTable+xml" PartName="/xl/pivotTables/pivotTable51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54.xml"/>
  <Override ContentType="application/vnd.openxmlformats-officedocument.spreadsheetml.pivotTable+xml" PartName="/xl/pivotTables/pivotTable3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62.xml"/>
  <Override ContentType="application/vnd.openxmlformats-officedocument.spreadsheetml.pivotTable+xml" PartName="/xl/pivotTables/pivotTable48.xml"/>
  <Override ContentType="application/vnd.openxmlformats-officedocument.spreadsheetml.pivotTable+xml" PartName="/xl/pivotTables/pivotTable97.xml"/>
  <Override ContentType="application/vnd.openxmlformats-officedocument.spreadsheetml.pivotTable+xml" PartName="/xl/pivotTables/pivotTable45.xml"/>
  <Override ContentType="application/vnd.openxmlformats-officedocument.spreadsheetml.pivotTable+xml" PartName="/xl/pivotTables/pivotTable71.xml"/>
  <Override ContentType="application/vnd.openxmlformats-officedocument.spreadsheetml.pivotTable+xml" PartName="/xl/pivotTables/pivotTable88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86.xml"/>
  <Override ContentType="application/vnd.openxmlformats-officedocument.spreadsheetml.pivotTable+xml" PartName="/xl/pivotTables/pivotTable43.xml"/>
  <Override ContentType="application/vnd.openxmlformats-officedocument.spreadsheetml.pivotTable+xml" PartName="/xl/pivotTables/pivotTable56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73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99.xml"/>
  <Override ContentType="application/vnd.openxmlformats-officedocument.spreadsheetml.pivotTable+xml" PartName="/xl/pivotTables/pivotTable60.xml"/>
  <Override ContentType="application/vnd.openxmlformats-officedocument.spreadsheetml.pivotTable+xml" PartName="/xl/pivotTables/pivotTable9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2023" sheetId="1" r:id="rId5"/>
    <sheet state="visible" name="amount" sheetId="2" r:id="rId6"/>
    <sheet state="visible" name="jan26" sheetId="3" r:id="rId7"/>
    <sheet state="visible" name="nov25" sheetId="4" r:id="rId8"/>
    <sheet state="visible" name="ago25" sheetId="5" r:id="rId9"/>
    <sheet state="visible" name="set25" sheetId="6" r:id="rId10"/>
    <sheet state="visible" name="out25" sheetId="7" r:id="rId11"/>
    <sheet state="visible" name="jul25" sheetId="8" r:id="rId12"/>
    <sheet state="visible" name="jun25" sheetId="9" r:id="rId13"/>
    <sheet state="visible" name="mai25" sheetId="10" r:id="rId14"/>
    <sheet state="visible" name="abr25" sheetId="11" r:id="rId15"/>
    <sheet state="visible" name="jan25" sheetId="12" r:id="rId16"/>
    <sheet state="visible" name="fev25" sheetId="13" r:id="rId17"/>
    <sheet state="visible" name="mar25" sheetId="14" r:id="rId18"/>
    <sheet state="visible" name="set24" sheetId="15" r:id="rId19"/>
    <sheet state="visible" name="jun24" sheetId="16" r:id="rId20"/>
    <sheet state="visible" name="jul24" sheetId="17" r:id="rId21"/>
    <sheet state="visible" name="maio24" sheetId="18" r:id="rId22"/>
    <sheet state="visible" name="abril24" sheetId="19" r:id="rId23"/>
    <sheet state="visible" name="marco24" sheetId="20" r:id="rId24"/>
    <sheet state="visible" name="fevereiro24" sheetId="21" r:id="rId25"/>
    <sheet state="visible" name="janneiro24" sheetId="22" r:id="rId26"/>
    <sheet state="visible" name="Dezembro23" sheetId="23" r:id="rId27"/>
    <sheet state="visible" name="novembro23" sheetId="24" r:id="rId28"/>
    <sheet state="visible" name="outubro23" sheetId="25" r:id="rId29"/>
    <sheet state="visible" name="setembro23" sheetId="26" r:id="rId30"/>
    <sheet state="visible" name="Agosto23" sheetId="27" r:id="rId31"/>
    <sheet state="visible" name="julho23" sheetId="28" r:id="rId32"/>
    <sheet state="visible" name="junho23" sheetId="29" r:id="rId33"/>
    <sheet state="visible" name="maio23" sheetId="30" r:id="rId34"/>
    <sheet state="visible" name="abril23" sheetId="31" r:id="rId35"/>
    <sheet state="visible" name="marco23" sheetId="32" r:id="rId36"/>
    <sheet state="visible" name="fevereiro23" sheetId="33" r:id="rId37"/>
    <sheet state="visible" name="Janeiro23" sheetId="34" r:id="rId38"/>
    <sheet state="visible" name="outubro22" sheetId="35" r:id="rId39"/>
    <sheet state="visible" name="setembro22" sheetId="36" r:id="rId40"/>
    <sheet state="visible" name="novembro22" sheetId="37" r:id="rId41"/>
  </sheets>
  <definedNames>
    <definedName hidden="1" localSheetId="2" name="_xlnm._FilterDatabase">'jan26'!$A$1:$BV$165</definedName>
    <definedName hidden="1" localSheetId="3" name="_xlnm._FilterDatabase">'nov25'!$A$1:$BV$118</definedName>
    <definedName hidden="1" localSheetId="4" name="_xlnm._FilterDatabase">'ago25'!$A$1:$BV$118</definedName>
    <definedName hidden="1" localSheetId="5" name="_xlnm._FilterDatabase">'set25'!$A$1:$BV$118</definedName>
    <definedName hidden="1" localSheetId="6" name="_xlnm._FilterDatabase">'out25'!$A$1:$BV$118</definedName>
    <definedName hidden="1" localSheetId="7" name="_xlnm._FilterDatabase">'jul25'!$A$1:$BV$118</definedName>
    <definedName hidden="1" localSheetId="8" name="_xlnm._FilterDatabase">'jun25'!$A$1:$BV$118</definedName>
    <definedName hidden="1" localSheetId="9" name="_xlnm._FilterDatabase">'mai25'!$A$1:$BV$119</definedName>
    <definedName hidden="1" localSheetId="10" name="_xlnm._FilterDatabase">'abr25'!$A$1:$BV$18</definedName>
    <definedName hidden="1" localSheetId="11" name="_xlnm._FilterDatabase">'jan25'!$A$1:$BV$18</definedName>
    <definedName hidden="1" localSheetId="12" name="_xlnm._FilterDatabase">'fev25'!$A$1:$BV$18</definedName>
    <definedName hidden="1" localSheetId="13" name="_xlnm._FilterDatabase">'mar25'!$A$1:$BV$18</definedName>
    <definedName hidden="1" localSheetId="14" name="_xlnm._FilterDatabase">'set24'!$A$1:$BV$17</definedName>
    <definedName hidden="1" localSheetId="15" name="_xlnm._FilterDatabase">'jun24'!$A$1:$BV$17</definedName>
    <definedName hidden="1" localSheetId="16" name="_xlnm._FilterDatabase">'jul24'!$A$1:$BV$17</definedName>
    <definedName hidden="1" localSheetId="17" name="_xlnm._FilterDatabase">maio24!$A$1:$BV$17</definedName>
    <definedName hidden="1" localSheetId="18" name="_xlnm._FilterDatabase">abril24!$A$1:$BV$17</definedName>
    <definedName hidden="1" localSheetId="19" name="_xlnm._FilterDatabase">marco24!$A$1:$BV$17</definedName>
    <definedName hidden="1" localSheetId="20" name="_xlnm._FilterDatabase">fevereiro24!$A$1:$BV$17</definedName>
    <definedName hidden="1" localSheetId="21" name="_xlnm._FilterDatabase">janneiro24!$A$1:$BV$17</definedName>
    <definedName hidden="1" localSheetId="22" name="_xlnm._FilterDatabase">Dezembro23!$A$1:$BV$102</definedName>
    <definedName hidden="1" localSheetId="23" name="_xlnm._FilterDatabase">novembro23!$A$1:$BV$17</definedName>
    <definedName hidden="1" localSheetId="24" name="_xlnm._FilterDatabase">outubro23!$A$1:$BV$17</definedName>
    <definedName hidden="1" localSheetId="25" name="_xlnm._FilterDatabase">setembro23!$A$1:$BV$21</definedName>
    <definedName hidden="1" localSheetId="26" name="_xlnm._FilterDatabase">Agosto23!$A$1:$BV$23</definedName>
    <definedName hidden="1" localSheetId="27" name="_xlnm._FilterDatabase">julho23!$A$1:$BV$23</definedName>
    <definedName hidden="1" localSheetId="28" name="_xlnm._FilterDatabase">junho23!$A$1:$BV$23</definedName>
    <definedName hidden="1" localSheetId="29" name="_xlnm._FilterDatabase">maio23!$A$1:$BV$23</definedName>
    <definedName hidden="1" localSheetId="30" name="_xlnm._FilterDatabase">abril23!$A$1:$BV$57</definedName>
    <definedName hidden="1" localSheetId="31" name="_xlnm._FilterDatabase">marco23!$A$1:$BV$72</definedName>
    <definedName hidden="1" localSheetId="32" name="_xlnm._FilterDatabase">fevereiro23!$A$1:$BV$55</definedName>
    <definedName hidden="1" localSheetId="33" name="_xlnm._FilterDatabase">Janeiro23!$A$1:$BV$26</definedName>
    <definedName hidden="1" localSheetId="35" name="_xlnm._FilterDatabase">setembro22!$A$1:$BV$72</definedName>
  </definedNames>
  <calcPr/>
  <pivotCaches>
    <pivotCache cacheId="0" r:id="rId42"/>
    <pivotCache cacheId="1" r:id="rId43"/>
    <pivotCache cacheId="2" r:id="rId44"/>
    <pivotCache cacheId="3" r:id="rId45"/>
    <pivotCache cacheId="4" r:id="rId46"/>
    <pivotCache cacheId="5" r:id="rId47"/>
    <pivotCache cacheId="6" r:id="rId48"/>
    <pivotCache cacheId="7" r:id="rId49"/>
    <pivotCache cacheId="8" r:id="rId50"/>
    <pivotCache cacheId="9" r:id="rId51"/>
    <pivotCache cacheId="10" r:id="rId52"/>
    <pivotCache cacheId="11" r:id="rId53"/>
    <pivotCache cacheId="12" r:id="rId54"/>
    <pivotCache cacheId="13" r:id="rId55"/>
    <pivotCache cacheId="14" r:id="rId56"/>
    <pivotCache cacheId="15" r:id="rId57"/>
    <pivotCache cacheId="16" r:id="rId58"/>
    <pivotCache cacheId="17" r:id="rId59"/>
    <pivotCache cacheId="18" r:id="rId60"/>
    <pivotCache cacheId="19" r:id="rId61"/>
    <pivotCache cacheId="20" r:id="rId62"/>
    <pivotCache cacheId="21" r:id="rId63"/>
    <pivotCache cacheId="22" r:id="rId64"/>
    <pivotCache cacheId="23" r:id="rId65"/>
    <pivotCache cacheId="24" r:id="rId66"/>
    <pivotCache cacheId="25" r:id="rId67"/>
    <pivotCache cacheId="26" r:id="rId68"/>
    <pivotCache cacheId="27" r:id="rId69"/>
    <pivotCache cacheId="28" r:id="rId70"/>
    <pivotCache cacheId="29" r:id="rId71"/>
    <pivotCache cacheId="30" r:id="rId72"/>
    <pivotCache cacheId="31" r:id="rId73"/>
    <pivotCache cacheId="32" r:id="rId74"/>
    <pivotCache cacheId="33" r:id="rId75"/>
    <pivotCache cacheId="34" r:id="rId76"/>
    <pivotCache cacheId="35" r:id="rId77"/>
    <pivotCache cacheId="36" r:id="rId78"/>
    <pivotCache cacheId="37" r:id="rId79"/>
    <pivotCache cacheId="38" r:id="rId80"/>
    <pivotCache cacheId="39" r:id="rId81"/>
    <pivotCache cacheId="40" r:id="rId82"/>
    <pivotCache cacheId="41" r:id="rId83"/>
    <pivotCache cacheId="42" r:id="rId84"/>
    <pivotCache cacheId="43" r:id="rId85"/>
    <pivotCache cacheId="44" r:id="rId86"/>
    <pivotCache cacheId="45" r:id="rId87"/>
    <pivotCache cacheId="46" r:id="rId88"/>
    <pivotCache cacheId="47" r:id="rId89"/>
    <pivotCache cacheId="48" r:id="rId90"/>
    <pivotCache cacheId="49" r:id="rId91"/>
    <pivotCache cacheId="50" r:id="rId92"/>
    <pivotCache cacheId="51" r:id="rId93"/>
    <pivotCache cacheId="52" r:id="rId94"/>
    <pivotCache cacheId="53" r:id="rId95"/>
    <pivotCache cacheId="54" r:id="rId96"/>
    <pivotCache cacheId="55" r:id="rId97"/>
    <pivotCache cacheId="56" r:id="rId98"/>
    <pivotCache cacheId="57" r:id="rId99"/>
    <pivotCache cacheId="58" r:id="rId100"/>
    <pivotCache cacheId="59" r:id="rId101"/>
    <pivotCache cacheId="60" r:id="rId102"/>
    <pivotCache cacheId="61" r:id="rId103"/>
    <pivotCache cacheId="62" r:id="rId104"/>
    <pivotCache cacheId="63" r:id="rId105"/>
    <pivotCache cacheId="64" r:id="rId106"/>
    <pivotCache cacheId="65" r:id="rId107"/>
    <pivotCache cacheId="66" r:id="rId108"/>
    <pivotCache cacheId="67" r:id="rId109"/>
    <pivotCache cacheId="68" r:id="rId110"/>
    <pivotCache cacheId="69" r:id="rId111"/>
    <pivotCache cacheId="70" r:id="rId112"/>
    <pivotCache cacheId="71" r:id="rId113"/>
    <pivotCache cacheId="72" r:id="rId114"/>
    <pivotCache cacheId="73" r:id="rId115"/>
    <pivotCache cacheId="74" r:id="rId116"/>
    <pivotCache cacheId="75" r:id="rId117"/>
    <pivotCache cacheId="76" r:id="rId118"/>
    <pivotCache cacheId="77" r:id="rId119"/>
    <pivotCache cacheId="78" r:id="rId120"/>
    <pivotCache cacheId="79" r:id="rId121"/>
    <pivotCache cacheId="80" r:id="rId122"/>
    <pivotCache cacheId="81" r:id="rId123"/>
    <pivotCache cacheId="82" r:id="rId124"/>
    <pivotCache cacheId="83" r:id="rId125"/>
    <pivotCache cacheId="84" r:id="rId126"/>
    <pivotCache cacheId="85" r:id="rId127"/>
    <pivotCache cacheId="86" r:id="rId128"/>
    <pivotCache cacheId="87" r:id="rId129"/>
    <pivotCache cacheId="88" r:id="rId130"/>
    <pivotCache cacheId="89" r:id="rId131"/>
    <pivotCache cacheId="90" r:id="rId132"/>
    <pivotCache cacheId="91" r:id="rId133"/>
    <pivotCache cacheId="92" r:id="rId134"/>
    <pivotCache cacheId="93" r:id="rId135"/>
    <pivotCache cacheId="94" r:id="rId136"/>
    <pivotCache cacheId="95" r:id="rId137"/>
    <pivotCache cacheId="96" r:id="rId138"/>
    <pivotCache cacheId="97" r:id="rId139"/>
    <pivotCache cacheId="98" r:id="rId140"/>
  </pivotCaches>
</workbook>
</file>

<file path=xl/sharedStrings.xml><?xml version="1.0" encoding="utf-8"?>
<sst xmlns="http://schemas.openxmlformats.org/spreadsheetml/2006/main" count="18420" uniqueCount="1206">
  <si>
    <t>Categoria</t>
  </si>
  <si>
    <t>Janeiro</t>
  </si>
  <si>
    <t>Fevereiro</t>
  </si>
  <si>
    <t>março</t>
  </si>
  <si>
    <t>abril</t>
  </si>
  <si>
    <t>maio</t>
  </si>
  <si>
    <t>jun</t>
  </si>
  <si>
    <t>jul</t>
  </si>
  <si>
    <t>Agosto</t>
  </si>
  <si>
    <t>setembro</t>
  </si>
  <si>
    <t>outubro</t>
  </si>
  <si>
    <t>novembro</t>
  </si>
  <si>
    <t>dezembro</t>
  </si>
  <si>
    <t>media 5meses</t>
  </si>
  <si>
    <t>escola/faculdade</t>
  </si>
  <si>
    <t>gift</t>
  </si>
  <si>
    <t>cursos</t>
  </si>
  <si>
    <t>streaming</t>
  </si>
  <si>
    <t>combustivel</t>
  </si>
  <si>
    <t>contabilidade</t>
  </si>
  <si>
    <t>estacionamentos</t>
  </si>
  <si>
    <t>Internet movel</t>
  </si>
  <si>
    <t>Internet</t>
  </si>
  <si>
    <t>academia</t>
  </si>
  <si>
    <t>Feira</t>
  </si>
  <si>
    <t>farmacia</t>
  </si>
  <si>
    <t>seguro</t>
  </si>
  <si>
    <t>Energia</t>
  </si>
  <si>
    <t>Pet</t>
  </si>
  <si>
    <t>mercado</t>
  </si>
  <si>
    <t>Cabeleireiro</t>
  </si>
  <si>
    <t>Vestuario</t>
  </si>
  <si>
    <t>outros</t>
  </si>
  <si>
    <t>utilizades domesticas</t>
  </si>
  <si>
    <t>Lazer</t>
  </si>
  <si>
    <t>material escolar</t>
  </si>
  <si>
    <t>Uber</t>
  </si>
  <si>
    <t>Iptu</t>
  </si>
  <si>
    <t>manutencao veiculo</t>
  </si>
  <si>
    <t>Padaria</t>
  </si>
  <si>
    <t>Manutenção casa</t>
  </si>
  <si>
    <t>manutenção domiciliar</t>
  </si>
  <si>
    <t>manutencao veicular</t>
  </si>
  <si>
    <t>ferias</t>
  </si>
  <si>
    <t>projetos</t>
  </si>
  <si>
    <t>pix aline</t>
  </si>
  <si>
    <t>painel solar</t>
  </si>
  <si>
    <t>dentista</t>
  </si>
  <si>
    <t>reforma casa</t>
  </si>
  <si>
    <t>boleto</t>
  </si>
  <si>
    <t>total</t>
  </si>
  <si>
    <t xml:space="preserve"> </t>
  </si>
  <si>
    <t>Receitas liquidas</t>
  </si>
  <si>
    <t>Avanade</t>
  </si>
  <si>
    <t>Vale alimentacao</t>
  </si>
  <si>
    <t>beneficio</t>
  </si>
  <si>
    <t>Receitas liquidas variaveis</t>
  </si>
  <si>
    <t>-</t>
  </si>
  <si>
    <t>Resumo</t>
  </si>
  <si>
    <t>Despesas Essenciais (55%)</t>
  </si>
  <si>
    <t>Despesas Educação (5%)</t>
  </si>
  <si>
    <t>Gastos livres (10%)</t>
  </si>
  <si>
    <t>Boleto Pessoal (30%)</t>
  </si>
  <si>
    <t>rest</t>
  </si>
  <si>
    <t>Bruto</t>
  </si>
  <si>
    <t>Bruto - inss - dependentes</t>
  </si>
  <si>
    <t>IRRF</t>
  </si>
  <si>
    <t>liquido</t>
  </si>
  <si>
    <t>liquido - prev + ações</t>
  </si>
  <si>
    <t>13 - 6869,67</t>
  </si>
  <si>
    <t>cc</t>
  </si>
  <si>
    <t>cdi</t>
  </si>
  <si>
    <t>Bradesco</t>
  </si>
  <si>
    <t>Nubank</t>
  </si>
  <si>
    <t>Santander</t>
  </si>
  <si>
    <t>PagBank</t>
  </si>
  <si>
    <t>N26</t>
  </si>
  <si>
    <t>Wise</t>
  </si>
  <si>
    <t>Binance</t>
  </si>
  <si>
    <t>Inter</t>
  </si>
  <si>
    <t>InterEmpresa</t>
  </si>
  <si>
    <t>rico</t>
  </si>
  <si>
    <t>Total</t>
  </si>
  <si>
    <t>ma</t>
  </si>
  <si>
    <t>dia</t>
  </si>
  <si>
    <t>valor</t>
  </si>
  <si>
    <t>situacao</t>
  </si>
  <si>
    <t>forma de pagamento</t>
  </si>
  <si>
    <t>beneficiado</t>
  </si>
  <si>
    <t>outcome</t>
  </si>
  <si>
    <t>subclassificacao</t>
  </si>
  <si>
    <t>centro de custo</t>
  </si>
  <si>
    <t>categoria</t>
  </si>
  <si>
    <t>tipo de despesas</t>
  </si>
  <si>
    <t>tag</t>
  </si>
  <si>
    <t>escolar Arthur</t>
  </si>
  <si>
    <t>pg</t>
  </si>
  <si>
    <t>Arthur</t>
  </si>
  <si>
    <t>bradesco conta</t>
  </si>
  <si>
    <t>despesas pessoais</t>
  </si>
  <si>
    <t>despesas essenciais</t>
  </si>
  <si>
    <t>fixa</t>
  </si>
  <si>
    <t>Faculdade Aline</t>
  </si>
  <si>
    <t>Aline</t>
  </si>
  <si>
    <t>Dentista Arthur</t>
  </si>
  <si>
    <t>Bradesco cartoes</t>
  </si>
  <si>
    <t>Conta de energia</t>
  </si>
  <si>
    <t>familia</t>
  </si>
  <si>
    <t>santander conta</t>
  </si>
  <si>
    <t>habitacao</t>
  </si>
  <si>
    <t>variavel</t>
  </si>
  <si>
    <t>internet fixa</t>
  </si>
  <si>
    <t>open</t>
  </si>
  <si>
    <t>internet TIM móvel</t>
  </si>
  <si>
    <t>debito automatico</t>
  </si>
  <si>
    <t>Alex</t>
  </si>
  <si>
    <t>streaming HBO</t>
  </si>
  <si>
    <t>nubank card</t>
  </si>
  <si>
    <t>nubank conta</t>
  </si>
  <si>
    <t>Apple Tv</t>
  </si>
  <si>
    <t>closed</t>
  </si>
  <si>
    <t>streaming amazonPrime</t>
  </si>
  <si>
    <t>assinatura mercado livre</t>
  </si>
  <si>
    <t>contra contabilidade</t>
  </si>
  <si>
    <t>assinatura NETFLIX</t>
  </si>
  <si>
    <t>assinatura GamePass</t>
  </si>
  <si>
    <t>seguro PIER carro</t>
  </si>
  <si>
    <t>transporte</t>
  </si>
  <si>
    <t>curso rocketseatPlus</t>
  </si>
  <si>
    <t>educacao</t>
  </si>
  <si>
    <t>gympass</t>
  </si>
  <si>
    <t>Condominio</t>
  </si>
  <si>
    <t>Pix</t>
  </si>
  <si>
    <t>bradesco cartoes</t>
  </si>
  <si>
    <t>Painel solar 11/12</t>
  </si>
  <si>
    <t>futebol domingo</t>
  </si>
  <si>
    <t>Atacadao</t>
  </si>
  <si>
    <t>Mercado Ideal</t>
  </si>
  <si>
    <t>Indigo</t>
  </si>
  <si>
    <t>Auto posto TOP</t>
  </si>
  <si>
    <t>Delirio Tropical</t>
  </si>
  <si>
    <t>Burguer king</t>
  </si>
  <si>
    <t>Estacionamento</t>
  </si>
  <si>
    <t>O boticario</t>
  </si>
  <si>
    <t>Chavao</t>
  </si>
  <si>
    <t>283 sao goncalo</t>
  </si>
  <si>
    <t>Mundo da Refrigeracao</t>
  </si>
  <si>
    <t>Lojas Nalin</t>
  </si>
  <si>
    <t>Pagamento</t>
  </si>
  <si>
    <t>Hortifruit dayse</t>
  </si>
  <si>
    <t>Nova fruit</t>
  </si>
  <si>
    <t>Breyas Especiais lan</t>
  </si>
  <si>
    <t>Pes e patas</t>
  </si>
  <si>
    <t>Amigao</t>
  </si>
  <si>
    <t>padaria</t>
  </si>
  <si>
    <t>to aki estacionamento</t>
  </si>
  <si>
    <t>pix</t>
  </si>
  <si>
    <t>Silva modas</t>
  </si>
  <si>
    <t>ki chopp</t>
  </si>
  <si>
    <t>Cruzverde</t>
  </si>
  <si>
    <t>Bmb Material de Construcao</t>
  </si>
  <si>
    <t>Assai</t>
  </si>
  <si>
    <t>cairofirminoda</t>
  </si>
  <si>
    <t>Jusimerefernandes</t>
  </si>
  <si>
    <t>Katarynemotta</t>
  </si>
  <si>
    <t>assai</t>
  </si>
  <si>
    <t>cosechas</t>
  </si>
  <si>
    <t>Danielsantos</t>
  </si>
  <si>
    <t>hortifruit nova safra</t>
  </si>
  <si>
    <t>Guarema</t>
  </si>
  <si>
    <t>capava</t>
  </si>
  <si>
    <t>Supermercado vila das</t>
  </si>
  <si>
    <t>sao jose</t>
  </si>
  <si>
    <t>Concessionaria Spmar</t>
  </si>
  <si>
    <t>Caneco 90 P.</t>
  </si>
  <si>
    <t>Concessionaria do Sist</t>
  </si>
  <si>
    <t>Drograrias JM ltda</t>
  </si>
  <si>
    <t>spvias</t>
  </si>
  <si>
    <t>Via colinas</t>
  </si>
  <si>
    <t>Osasco</t>
  </si>
  <si>
    <t>Itapevi</t>
  </si>
  <si>
    <t>Epr Litoral Pioneiro S</t>
  </si>
  <si>
    <t>Rodovias Integradas Do</t>
  </si>
  <si>
    <t>Posto de servic oPopul</t>
  </si>
  <si>
    <t>Posto de Servico Popul</t>
  </si>
  <si>
    <t>Cobasi</t>
  </si>
  <si>
    <t>Navarro e Baron ltda</t>
  </si>
  <si>
    <t>Fevereirold</t>
  </si>
  <si>
    <t>Hotel London</t>
  </si>
  <si>
    <t>Epr Iguacu</t>
  </si>
  <si>
    <t>Max jk</t>
  </si>
  <si>
    <t>Epr Iguacu Sa</t>
  </si>
  <si>
    <t>Posto Itaipi</t>
  </si>
  <si>
    <t>Urbia Cataratas</t>
  </si>
  <si>
    <t>Foz Tropicana parque</t>
  </si>
  <si>
    <t>Parque das aves</t>
  </si>
  <si>
    <t>parque das aves</t>
  </si>
  <si>
    <t>TOrra toraa</t>
  </si>
  <si>
    <t>Posto Triangulo</t>
  </si>
  <si>
    <t>Amp Sabores do Oriente</t>
  </si>
  <si>
    <t>Posto Cezar</t>
  </si>
  <si>
    <t>Italo Supermercados</t>
  </si>
  <si>
    <t>Mp Restaurante</t>
  </si>
  <si>
    <t>Concessionaria Rota so</t>
  </si>
  <si>
    <t xml:space="preserve">Concessionara  do </t>
  </si>
  <si>
    <t>Kioque do alemao</t>
  </si>
  <si>
    <t>Viuva</t>
  </si>
  <si>
    <t>magalupay</t>
  </si>
  <si>
    <t>Recarga Pre pago</t>
  </si>
  <si>
    <t>Sacolao barateiro</t>
  </si>
  <si>
    <t>Spotify</t>
  </si>
  <si>
    <t>Aibr Instituicao</t>
  </si>
  <si>
    <t>SOnia de Aguiar</t>
  </si>
  <si>
    <t>Compras China</t>
  </si>
  <si>
    <t>Compras china</t>
  </si>
  <si>
    <t>Keeta</t>
  </si>
  <si>
    <t>99food</t>
  </si>
  <si>
    <t>UltraFarma</t>
  </si>
  <si>
    <t>Novanex</t>
  </si>
  <si>
    <t>Resort Animal</t>
  </si>
  <si>
    <t>Sandra Regina</t>
  </si>
  <si>
    <t>Luz Marina case de Vi</t>
  </si>
  <si>
    <t>Waleid Abdel</t>
  </si>
  <si>
    <t>Erik</t>
  </si>
  <si>
    <t>RendimentoPay</t>
  </si>
  <si>
    <t>gdo Participacoes</t>
  </si>
  <si>
    <t>ecoponte</t>
  </si>
  <si>
    <t>Posto Pinda</t>
  </si>
  <si>
    <t>cart</t>
  </si>
  <si>
    <t>ifood</t>
  </si>
  <si>
    <t>estarfi</t>
  </si>
  <si>
    <t>lg*sancorsegur</t>
  </si>
  <si>
    <t>wasabi</t>
  </si>
  <si>
    <t>petz</t>
  </si>
  <si>
    <t>Airbnb</t>
  </si>
  <si>
    <t>ze delivery</t>
  </si>
  <si>
    <t>boleto pessoal</t>
  </si>
  <si>
    <t>SUM de valor</t>
  </si>
  <si>
    <t>Total geral</t>
  </si>
  <si>
    <t>total pago</t>
  </si>
  <si>
    <t>bra</t>
  </si>
  <si>
    <t>Painel solar 9/12</t>
  </si>
  <si>
    <t>auto posto top</t>
  </si>
  <si>
    <t>katarynedamota</t>
  </si>
  <si>
    <t>perfumaria kennedy</t>
  </si>
  <si>
    <t>mundodarefrigeracao</t>
  </si>
  <si>
    <t>convem sao goncalo</t>
  </si>
  <si>
    <t>atacadao</t>
  </si>
  <si>
    <t>top arena</t>
  </si>
  <si>
    <t>drogaria pacheco</t>
  </si>
  <si>
    <t>cassel frutas</t>
  </si>
  <si>
    <t>sacolao do barateiro</t>
  </si>
  <si>
    <t>casas pedroq6</t>
  </si>
  <si>
    <t>burguerking</t>
  </si>
  <si>
    <t>boticario</t>
  </si>
  <si>
    <t>cairofirminoda-oleo</t>
  </si>
  <si>
    <t>frankjose-trocadeoleo</t>
  </si>
  <si>
    <t>shoppe</t>
  </si>
  <si>
    <t>claro recarga</t>
  </si>
  <si>
    <t>kleyton diego</t>
  </si>
  <si>
    <t>aldecir-lavaajato</t>
  </si>
  <si>
    <t>guanabara</t>
  </si>
  <si>
    <t>tamoio</t>
  </si>
  <si>
    <t>pes e patas</t>
  </si>
  <si>
    <t>estacionamento</t>
  </si>
  <si>
    <t>lovcafe</t>
  </si>
  <si>
    <t>wallacedossantos</t>
  </si>
  <si>
    <t>mercadoideal</t>
  </si>
  <si>
    <t>supermarket</t>
  </si>
  <si>
    <t>g pet shop</t>
  </si>
  <si>
    <t>puro gas</t>
  </si>
  <si>
    <t>carrefour</t>
  </si>
  <si>
    <t>Curso Ingles</t>
  </si>
  <si>
    <t>carrefour Tv 7/8</t>
  </si>
  <si>
    <t>Painel solar 6/12</t>
  </si>
  <si>
    <t>egaalimentos</t>
  </si>
  <si>
    <t>gladiador pet shop</t>
  </si>
  <si>
    <t>rodo gril</t>
  </si>
  <si>
    <t>novo rio agua</t>
  </si>
  <si>
    <t>icaroduarte</t>
  </si>
  <si>
    <t>drogaria</t>
  </si>
  <si>
    <t>hzie variedades</t>
  </si>
  <si>
    <t>cacula</t>
  </si>
  <si>
    <t>drogaria tamoio</t>
  </si>
  <si>
    <t>garfo e faca</t>
  </si>
  <si>
    <t>cantina alfredo backer</t>
  </si>
  <si>
    <t>sacolao barateiro</t>
  </si>
  <si>
    <t>katarynemotta</t>
  </si>
  <si>
    <t>farmelhor</t>
  </si>
  <si>
    <t>grupo genius brasil p</t>
  </si>
  <si>
    <t>ac cortes</t>
  </si>
  <si>
    <t>outback</t>
  </si>
  <si>
    <t>l t salles hortfruit</t>
  </si>
  <si>
    <t>indigo</t>
  </si>
  <si>
    <t>delirio tropical</t>
  </si>
  <si>
    <t>leandro mayer</t>
  </si>
  <si>
    <t>dayse10comercio</t>
  </si>
  <si>
    <t>paraiso</t>
  </si>
  <si>
    <t>oboticario</t>
  </si>
  <si>
    <t>posto luna</t>
  </si>
  <si>
    <t>casa pedro</t>
  </si>
  <si>
    <t>boleriadavo</t>
  </si>
  <si>
    <t>emallafrios</t>
  </si>
  <si>
    <t>rafael custodio d</t>
  </si>
  <si>
    <t>tapete higienico</t>
  </si>
  <si>
    <t>mercado livre projeto</t>
  </si>
  <si>
    <t>acumputura</t>
  </si>
  <si>
    <t>centauro</t>
  </si>
  <si>
    <t>burguer king</t>
  </si>
  <si>
    <t>deposito racao</t>
  </si>
  <si>
    <t>camisa treino</t>
  </si>
  <si>
    <t>nova fruit</t>
  </si>
  <si>
    <t>lgm distribuidora</t>
  </si>
  <si>
    <t>drograria farmelhor</t>
  </si>
  <si>
    <t>nitetran</t>
  </si>
  <si>
    <t>doces ze garoto</t>
  </si>
  <si>
    <t>matheus silva pires</t>
  </si>
  <si>
    <t>cybernit</t>
  </si>
  <si>
    <t>helcio siqueira</t>
  </si>
  <si>
    <t>niteroirotativo</t>
  </si>
  <si>
    <t>assesoria time de</t>
  </si>
  <si>
    <t>recarga pre</t>
  </si>
  <si>
    <t>niadestacionamento</t>
  </si>
  <si>
    <t>daniel</t>
  </si>
  <si>
    <t>Diaval treinamentos</t>
  </si>
  <si>
    <t>acai forte</t>
  </si>
  <si>
    <t>nataliabrito</t>
  </si>
  <si>
    <t>magalypay</t>
  </si>
  <si>
    <t>novafruit</t>
  </si>
  <si>
    <t>futebol sabado</t>
  </si>
  <si>
    <t>renan silveira</t>
  </si>
  <si>
    <t>carrefour Tv 8/8</t>
  </si>
  <si>
    <t>Painel solar 7/12</t>
  </si>
  <si>
    <t>katarynedamotta</t>
  </si>
  <si>
    <t>purogras</t>
  </si>
  <si>
    <t>assim assado</t>
  </si>
  <si>
    <t>atacadao posto 13</t>
  </si>
  <si>
    <t>boulevard 425 comerci</t>
  </si>
  <si>
    <t>Auto  posto</t>
  </si>
  <si>
    <t>clube da sfiha</t>
  </si>
  <si>
    <t>mercado extra</t>
  </si>
  <si>
    <t>posto rasa</t>
  </si>
  <si>
    <t>via lagos rio bonito</t>
  </si>
  <si>
    <t>tubarao inoa</t>
  </si>
  <si>
    <t>lojas americanas</t>
  </si>
  <si>
    <t>samsara</t>
  </si>
  <si>
    <t>mcdonalds</t>
  </si>
  <si>
    <t>hortifruit</t>
  </si>
  <si>
    <t>churrascaria m3c00 del</t>
  </si>
  <si>
    <t>to aky estacionamento</t>
  </si>
  <si>
    <t>rosilenemontalvao</t>
  </si>
  <si>
    <t>kibarato</t>
  </si>
  <si>
    <t>magalu</t>
  </si>
  <si>
    <t>topfabuloso</t>
  </si>
  <si>
    <t>justo cafe</t>
  </si>
  <si>
    <t>efraim moto pecas</t>
  </si>
  <si>
    <t>chinainbox</t>
  </si>
  <si>
    <t>pesepatas</t>
  </si>
  <si>
    <t>princesa supermercados</t>
  </si>
  <si>
    <t>pista 5 auto pista</t>
  </si>
  <si>
    <t>recargapre</t>
  </si>
  <si>
    <t>niadestacionamentos</t>
  </si>
  <si>
    <t>brigadeiro</t>
  </si>
  <si>
    <t>macefix parafusos</t>
  </si>
  <si>
    <t>ana clara</t>
  </si>
  <si>
    <t>matheus</t>
  </si>
  <si>
    <t>Aline H</t>
  </si>
  <si>
    <t>Diego Morares</t>
  </si>
  <si>
    <t>natalia brito</t>
  </si>
  <si>
    <t>pgto fature</t>
  </si>
  <si>
    <t>Cliente e co</t>
  </si>
  <si>
    <t>Vulcabras Sp(tenis</t>
  </si>
  <si>
    <t>Aliexpress</t>
  </si>
  <si>
    <t>pagleve</t>
  </si>
  <si>
    <t>shopee</t>
  </si>
  <si>
    <t>Acumputura</t>
  </si>
  <si>
    <t>Painel solar 8/12</t>
  </si>
  <si>
    <t>horta carioca</t>
  </si>
  <si>
    <t>pada</t>
  </si>
  <si>
    <t>mp*lanchonete</t>
  </si>
  <si>
    <t>perrone</t>
  </si>
  <si>
    <t>auto posto</t>
  </si>
  <si>
    <t>ichiban japonese food</t>
  </si>
  <si>
    <t>purogas</t>
  </si>
  <si>
    <t>novo rio</t>
  </si>
  <si>
    <t>rede economia</t>
  </si>
  <si>
    <t>r a intima lingerie</t>
  </si>
  <si>
    <t>nova hortifruit</t>
  </si>
  <si>
    <t>cinthia de souza andrade</t>
  </si>
  <si>
    <t>lboleria davo</t>
  </si>
  <si>
    <t>riachuelo</t>
  </si>
  <si>
    <t>silviabatista</t>
  </si>
  <si>
    <t>hortfruit</t>
  </si>
  <si>
    <t>casas pedro</t>
  </si>
  <si>
    <t>drogaraia</t>
  </si>
  <si>
    <t>posto vip</t>
  </si>
  <si>
    <t>ferart coisa e tal</t>
  </si>
  <si>
    <t>amigao</t>
  </si>
  <si>
    <t>pankmotos</t>
  </si>
  <si>
    <t>onda do sorvete</t>
  </si>
  <si>
    <t>recarga claro</t>
  </si>
  <si>
    <t>clientco servicos</t>
  </si>
  <si>
    <t>aliexpress</t>
  </si>
  <si>
    <t>leroymerlin</t>
  </si>
  <si>
    <t>paulohenrique</t>
  </si>
  <si>
    <t>payall int</t>
  </si>
  <si>
    <t>m4 produtos</t>
  </si>
  <si>
    <t>pix marktplace</t>
  </si>
  <si>
    <t>atlas s</t>
  </si>
  <si>
    <t>Anaclara silva</t>
  </si>
  <si>
    <t>Fabiano silva</t>
  </si>
  <si>
    <t>antonio carlos</t>
  </si>
  <si>
    <t>Descrição</t>
  </si>
  <si>
    <t>carrefour Tv 6/8</t>
  </si>
  <si>
    <t>Painel solar 5/12</t>
  </si>
  <si>
    <t>Futebol Domingo</t>
  </si>
  <si>
    <t>habibs</t>
  </si>
  <si>
    <t>pastel</t>
  </si>
  <si>
    <t>auto posto t</t>
  </si>
  <si>
    <t>cia do doce</t>
  </si>
  <si>
    <t>raizes de minas</t>
  </si>
  <si>
    <t>restaurante partage</t>
  </si>
  <si>
    <t>pank motos</t>
  </si>
  <si>
    <t>jequiti</t>
  </si>
  <si>
    <t>genius brasil (habibis)</t>
  </si>
  <si>
    <t>hortifuit</t>
  </si>
  <si>
    <t>obotocario</t>
  </si>
  <si>
    <t>petz manilha</t>
  </si>
  <si>
    <t>samantamenizes dermat</t>
  </si>
  <si>
    <t>drogarria 3 poderes</t>
  </si>
  <si>
    <t>lgm distribuidora padaria</t>
  </si>
  <si>
    <t>rote casa de racoes</t>
  </si>
  <si>
    <t xml:space="preserve">cacula </t>
  </si>
  <si>
    <t xml:space="preserve">Estacionamento </t>
  </si>
  <si>
    <t>boleria davo ed.</t>
  </si>
  <si>
    <t>bisturi</t>
  </si>
  <si>
    <t>utilicasa</t>
  </si>
  <si>
    <t>affrikagourmet</t>
  </si>
  <si>
    <t>claudiacristina</t>
  </si>
  <si>
    <t>ficandoveg</t>
  </si>
  <si>
    <t>ednilzaborges</t>
  </si>
  <si>
    <t>ysis kyoko neves yukiz</t>
  </si>
  <si>
    <t>requinte alcantara</t>
  </si>
  <si>
    <t>makineta</t>
  </si>
  <si>
    <t>objetiva</t>
  </si>
  <si>
    <t>fofo cell</t>
  </si>
  <si>
    <t xml:space="preserve">cell eletrônico </t>
  </si>
  <si>
    <t>235 patio alcantara</t>
  </si>
  <si>
    <t>cobasi</t>
  </si>
  <si>
    <t>mercadopago</t>
  </si>
  <si>
    <t>JoseLuiz lopes</t>
  </si>
  <si>
    <t>parafusos</t>
  </si>
  <si>
    <t>Ecoponto pedagio</t>
  </si>
  <si>
    <t>Recarga claro</t>
  </si>
  <si>
    <t>Recarga TIm Aline</t>
  </si>
  <si>
    <t>Diaval treinamento de 09/06</t>
  </si>
  <si>
    <t>Casa valentim</t>
  </si>
  <si>
    <t>ecoponto pedagio</t>
  </si>
  <si>
    <t>Junior e evelyn doce</t>
  </si>
  <si>
    <t>fernado esteves 17/06</t>
  </si>
  <si>
    <t>Jose luiz lopes de Ar 19/06</t>
  </si>
  <si>
    <t>Atlas sa</t>
  </si>
  <si>
    <t>mercado livre</t>
  </si>
  <si>
    <t>presente arthur</t>
  </si>
  <si>
    <t>carrefour Tv 5/8</t>
  </si>
  <si>
    <t>Painel solar 4/12</t>
  </si>
  <si>
    <t>dayse10comerciode</t>
  </si>
  <si>
    <t>Puro gas</t>
  </si>
  <si>
    <t>spoleto</t>
  </si>
  <si>
    <t>auto posto T</t>
  </si>
  <si>
    <t>china in box</t>
  </si>
  <si>
    <t>cults3d.com</t>
  </si>
  <si>
    <t>iof</t>
  </si>
  <si>
    <t>hortifruiti</t>
  </si>
  <si>
    <t>leandromayer</t>
  </si>
  <si>
    <t>shopee meizitechltda</t>
  </si>
  <si>
    <t xml:space="preserve">Férias </t>
  </si>
  <si>
    <t>hf studiohair</t>
  </si>
  <si>
    <t>carrefour alcantara</t>
  </si>
  <si>
    <t>grupo genius Brasil p</t>
  </si>
  <si>
    <t>Bardana Natural</t>
  </si>
  <si>
    <t>Superfacil va</t>
  </si>
  <si>
    <t>fabrica de bolos</t>
  </si>
  <si>
    <t>Guanabara</t>
  </si>
  <si>
    <t>Publix</t>
  </si>
  <si>
    <t>marisa</t>
  </si>
  <si>
    <t>kifesta</t>
  </si>
  <si>
    <t>soldagreste</t>
  </si>
  <si>
    <t>Pastel Amigao</t>
  </si>
  <si>
    <t>mp espetos</t>
  </si>
  <si>
    <t>posto vip caneco Novem</t>
  </si>
  <si>
    <t>rafirro empadas</t>
  </si>
  <si>
    <t>vlc copias e xerox</t>
  </si>
  <si>
    <t>ponto mix 19 alcantara</t>
  </si>
  <si>
    <t>leandro mayer alfafini 81</t>
  </si>
  <si>
    <t>bolevard sg 417 doceri</t>
  </si>
  <si>
    <t>irene ferreira de jesus</t>
  </si>
  <si>
    <t>luizhenrique</t>
  </si>
  <si>
    <t>aledsondasilvadia</t>
  </si>
  <si>
    <t>aline</t>
  </si>
  <si>
    <t>LGM DISTRIBUIDORA E CO</t>
  </si>
  <si>
    <t>ATACADAO 0202 AS</t>
  </si>
  <si>
    <t>ATACADAO 0681 AS</t>
  </si>
  <si>
    <t>LOJAS AMERICANAS 5228</t>
  </si>
  <si>
    <t>CARREFOUR - ALCANTARA</t>
  </si>
  <si>
    <t>PADARIA DELICIA DE ITA</t>
  </si>
  <si>
    <t>CONVEM SAO GONCALO RES</t>
  </si>
  <si>
    <t>GUANABARA ALCANTARA</t>
  </si>
  <si>
    <t>filamentos</t>
  </si>
  <si>
    <t>CARREFOUR COM 3/8</t>
  </si>
  <si>
    <t>MP*OUROLUXSOLAR 2/12</t>
  </si>
  <si>
    <t>Tapete higienico Mercado livre</t>
  </si>
  <si>
    <t>recarga Aline</t>
  </si>
  <si>
    <t>Poda de arvore(cristiano)</t>
  </si>
  <si>
    <t>telha oberdan</t>
  </si>
  <si>
    <t>o boticario</t>
  </si>
  <si>
    <t>Drogaria tamoio</t>
  </si>
  <si>
    <t>Objetiva</t>
  </si>
  <si>
    <t>grupo gennius brasil p</t>
  </si>
  <si>
    <t>Assai atacadista</t>
  </si>
  <si>
    <t>veganfit</t>
  </si>
  <si>
    <t>chic farma</t>
  </si>
  <si>
    <t>Personal Aline</t>
  </si>
  <si>
    <t>burger king</t>
  </si>
  <si>
    <t>drogaria uniao</t>
  </si>
  <si>
    <t>leroy merlin</t>
  </si>
  <si>
    <t>Casa novo alcantara</t>
  </si>
  <si>
    <t>Posto carrefour</t>
  </si>
  <si>
    <t>hoverboard</t>
  </si>
  <si>
    <t>rocketseat</t>
  </si>
  <si>
    <t>Unique ingles</t>
  </si>
  <si>
    <t>3d prime</t>
  </si>
  <si>
    <t>alipay</t>
  </si>
  <si>
    <t>cartao de memoria</t>
  </si>
  <si>
    <t>lanche</t>
  </si>
  <si>
    <t>ecopay</t>
  </si>
  <si>
    <t>recarga arthur</t>
  </si>
  <si>
    <t>detran</t>
  </si>
  <si>
    <t>supermercado guanabara</t>
  </si>
  <si>
    <t>anapaulafrancisco</t>
  </si>
  <si>
    <t>kalunga</t>
  </si>
  <si>
    <t>posto vip caneco noven</t>
  </si>
  <si>
    <t>brownie</t>
  </si>
  <si>
    <t>caneco 90 posto</t>
  </si>
  <si>
    <t>supermercado inter</t>
  </si>
  <si>
    <t>jvn tecnologia</t>
  </si>
  <si>
    <t>douglas da conceicao</t>
  </si>
  <si>
    <t>focinheira luna</t>
  </si>
  <si>
    <t>internet tim móvel</t>
  </si>
  <si>
    <t>Pix Renan</t>
  </si>
  <si>
    <t>Pix Bradesco cc</t>
  </si>
  <si>
    <t>Brownie</t>
  </si>
  <si>
    <t>Pix Fernando</t>
  </si>
  <si>
    <t>GrupoTudoDeVet</t>
  </si>
  <si>
    <t>Pix Aline</t>
  </si>
  <si>
    <t>Recarga</t>
  </si>
  <si>
    <t>pague facil</t>
  </si>
  <si>
    <t>Pix Aliexpress</t>
  </si>
  <si>
    <t>Pix Hebert</t>
  </si>
  <si>
    <t>Pix AnaPaula</t>
  </si>
  <si>
    <t>Top Arena</t>
  </si>
  <si>
    <t>Box Athena</t>
  </si>
  <si>
    <t>Sefaz</t>
  </si>
  <si>
    <t>GoldenFruit</t>
  </si>
  <si>
    <t>Bradesco Visa Electron</t>
  </si>
  <si>
    <t>Pix Petcenter</t>
  </si>
  <si>
    <t>Detran RJ</t>
  </si>
  <si>
    <t>Diego Futebol sab</t>
  </si>
  <si>
    <t>Pix cueca</t>
  </si>
  <si>
    <t>Philippe</t>
  </si>
  <si>
    <t>DECATHLON 2/2</t>
  </si>
  <si>
    <t xml:space="preserve">AUTO POSTO T </t>
  </si>
  <si>
    <t xml:space="preserve">BURGER KING </t>
  </si>
  <si>
    <t>ASSAI ATACADISTA  LJ35</t>
  </si>
  <si>
    <t>LEANDRO MAYER ALTAFINI 81</t>
  </si>
  <si>
    <t>AUTO POSTO T</t>
  </si>
  <si>
    <t>SACOLAO DO BARATEIRO</t>
  </si>
  <si>
    <t>HORTIFRUTI MARQUES DE</t>
  </si>
  <si>
    <t>PETZ CARREFOUR MANILHA</t>
  </si>
  <si>
    <t>SUPERMERCADO GUANABARA</t>
  </si>
  <si>
    <t>LOJAS AMERICANAS 87</t>
  </si>
  <si>
    <t>BURGER KING</t>
  </si>
  <si>
    <t>CACULA SAO GONCALO</t>
  </si>
  <si>
    <t>ASSAI ATACADISTA  LJ26</t>
  </si>
  <si>
    <t>O BOTICARIO</t>
  </si>
  <si>
    <t>PUBLIX GENEROS ALIMENT</t>
  </si>
  <si>
    <t>CP *AMIGAO 26 SH S GON</t>
  </si>
  <si>
    <t>CASSEL FRUTAS</t>
  </si>
  <si>
    <t>CASAS PEDRO</t>
  </si>
  <si>
    <t>MATCON MAT CONSTRUCAO</t>
  </si>
  <si>
    <t>KataryneDaMotta</t>
  </si>
  <si>
    <t>PURO GAS</t>
  </si>
  <si>
    <t>PETZ DIGITAL</t>
  </si>
  <si>
    <t>FARMACIA APOLO X</t>
  </si>
  <si>
    <t>DoceEnergia</t>
  </si>
  <si>
    <t>BELLA FLOR PANIFICACAO</t>
  </si>
  <si>
    <t>DROGARIA FARMELHOR</t>
  </si>
  <si>
    <t>DROGARIAS PACHECO</t>
  </si>
  <si>
    <t>POSTO VIP CANECO NOVEN</t>
  </si>
  <si>
    <t>NOVA FRUTI</t>
  </si>
  <si>
    <t>Petz</t>
  </si>
  <si>
    <t>MercadoLivre</t>
  </si>
  <si>
    <t>Futebol</t>
  </si>
  <si>
    <t>pix Nubank</t>
  </si>
  <si>
    <t>Pix Santander</t>
  </si>
  <si>
    <t>Pix Vaquina</t>
  </si>
  <si>
    <t>Pix ProjetoPainelSolar</t>
  </si>
  <si>
    <t>Descricao</t>
  </si>
  <si>
    <t>dentista Arthur</t>
  </si>
  <si>
    <t>Faculdade Alex</t>
  </si>
  <si>
    <t>internet oi móvel</t>
  </si>
  <si>
    <t>Futebol Alex</t>
  </si>
  <si>
    <t>Combustivel</t>
  </si>
  <si>
    <t>Personal</t>
  </si>
  <si>
    <t xml:space="preserve">Amazon </t>
  </si>
  <si>
    <t>Pag*Steam</t>
  </si>
  <si>
    <t>restaurante da familia</t>
  </si>
  <si>
    <t>sams club</t>
  </si>
  <si>
    <t>lgmdistribuidora</t>
  </si>
  <si>
    <t>grupoIdeal</t>
  </si>
  <si>
    <t>Epar</t>
  </si>
  <si>
    <t>Burger king</t>
  </si>
  <si>
    <t>PostoVipCanecoNoven</t>
  </si>
  <si>
    <t>PuroGas</t>
  </si>
  <si>
    <t>Denair</t>
  </si>
  <si>
    <t>StarLink</t>
  </si>
  <si>
    <t>Iof S/Trans inter Reais</t>
  </si>
  <si>
    <t>Gabriela Marinho</t>
  </si>
  <si>
    <t>Drogaria Pacheco</t>
  </si>
  <si>
    <t>Nosso Park Estacionamento</t>
  </si>
  <si>
    <t>finpet</t>
  </si>
  <si>
    <t>carrefourManilha</t>
  </si>
  <si>
    <t>CarrefourPost</t>
  </si>
  <si>
    <t>Atacatao</t>
  </si>
  <si>
    <t>Sacolao de nova cidade</t>
  </si>
  <si>
    <t>Supermercado Guanabara</t>
  </si>
  <si>
    <t>cacula sao goncalo</t>
  </si>
  <si>
    <t>kik</t>
  </si>
  <si>
    <t>fabrica de bolo vo az</t>
  </si>
  <si>
    <t xml:space="preserve">carrefour manilha </t>
  </si>
  <si>
    <t>Lojas Americanas</t>
  </si>
  <si>
    <t>Outback</t>
  </si>
  <si>
    <t>Carrefour Cal 212</t>
  </si>
  <si>
    <t>Grupo Ideal</t>
  </si>
  <si>
    <t>Grupo genius brasil p</t>
  </si>
  <si>
    <t>Carrefour posto</t>
  </si>
  <si>
    <t>Alexandre</t>
  </si>
  <si>
    <t>edinilzaborges</t>
  </si>
  <si>
    <t>ton lehmonada</t>
  </si>
  <si>
    <t>Alypay Brasil</t>
  </si>
  <si>
    <t>corte arthur</t>
  </si>
  <si>
    <t>jogo steam</t>
  </si>
  <si>
    <t>troca de oleo cambio</t>
  </si>
  <si>
    <t>lava a jato</t>
  </si>
  <si>
    <t>tomografia AMY</t>
  </si>
  <si>
    <t>recarga chip honda</t>
  </si>
  <si>
    <t>tudo de vet</t>
  </si>
  <si>
    <t>sulvia modas</t>
  </si>
  <si>
    <t>cea</t>
  </si>
  <si>
    <t>Bradesco cc</t>
  </si>
  <si>
    <t>transferencia p Alex 01/02</t>
  </si>
  <si>
    <t xml:space="preserve">Sefaz 03/03 </t>
  </si>
  <si>
    <t>Shopee</t>
  </si>
  <si>
    <t xml:space="preserve">Parafusos </t>
  </si>
  <si>
    <t>Bradesco debito</t>
  </si>
  <si>
    <t>instalacao Ar condicionado</t>
  </si>
  <si>
    <t>Guanabara Alcantara</t>
  </si>
  <si>
    <t>transferencia p Aline</t>
  </si>
  <si>
    <t>Enel</t>
  </si>
  <si>
    <t>Cia do Doce</t>
  </si>
  <si>
    <t>Purogas Mutua GNV</t>
  </si>
  <si>
    <t>Philippe pix</t>
  </si>
  <si>
    <t>Aledson Pix</t>
  </si>
  <si>
    <t>Purogas</t>
  </si>
  <si>
    <t>CHINA IN BOX</t>
  </si>
  <si>
    <t>ASSAI ATACADISTA LJ35</t>
  </si>
  <si>
    <t>GrupoIdeal</t>
  </si>
  <si>
    <t>MCDONALDS</t>
  </si>
  <si>
    <t>JAPA DE MADUREIRA BIJU</t>
  </si>
  <si>
    <t>EdinilzaBorges</t>
  </si>
  <si>
    <t>AffrikaGourmet</t>
  </si>
  <si>
    <t>MAV COMERCIO LTDA</t>
  </si>
  <si>
    <t>POSTO DE GASOLINA HALL</t>
  </si>
  <si>
    <t>AilsonVieiraDa</t>
  </si>
  <si>
    <t>RamonAdrianoPrado</t>
  </si>
  <si>
    <t>MUNDO DA REFRIGERACAO</t>
  </si>
  <si>
    <t>J PEDRO DESCARTAVEIS</t>
  </si>
  <si>
    <t>CARREFOUR COM 01/08</t>
  </si>
  <si>
    <t>EdineyGuimaraesDe</t>
  </si>
  <si>
    <t>LANCHONETE PATIO DAS D</t>
  </si>
  <si>
    <t>BOLERIA DAVO ED.</t>
  </si>
  <si>
    <t>POSTO CARREFOUR - MANI</t>
  </si>
  <si>
    <t>PETZ *PETZ</t>
  </si>
  <si>
    <t>CarrefourManilha</t>
  </si>
  <si>
    <t>PES PATAS</t>
  </si>
  <si>
    <t>D RODRIGUES</t>
  </si>
  <si>
    <t>CANTINA ALF BACKER</t>
  </si>
  <si>
    <t>EletroMouraLtda</t>
  </si>
  <si>
    <t>ASSAI ATACADISTA LJ26</t>
  </si>
  <si>
    <t>OsmarCostaJunior</t>
  </si>
  <si>
    <t>Diego Futebol</t>
  </si>
  <si>
    <t>camisa futebol</t>
  </si>
  <si>
    <t>Mercado livre</t>
  </si>
  <si>
    <t>Epic</t>
  </si>
  <si>
    <t>Netshoes</t>
  </si>
  <si>
    <t>Latam Gateway</t>
  </si>
  <si>
    <t>Casa linda</t>
  </si>
  <si>
    <t>Bazar agroverde</t>
  </si>
  <si>
    <t>Universidadedasco</t>
  </si>
  <si>
    <t>Doce Energia</t>
  </si>
  <si>
    <t>TudoDeVet</t>
  </si>
  <si>
    <t>ObraTelhadoPainelSolar</t>
  </si>
  <si>
    <t>Pix Philippe</t>
  </si>
  <si>
    <t>Recarga Arthur</t>
  </si>
  <si>
    <t>MERCADO NOVO RIO</t>
  </si>
  <si>
    <t>REDE ECONOMIA</t>
  </si>
  <si>
    <t>GLADIADOR PET SHOP</t>
  </si>
  <si>
    <t>MAGAZINE TORRA TORRA L</t>
  </si>
  <si>
    <t>PES E PATAS COMERCIO D</t>
  </si>
  <si>
    <t>MP*OUROLUXSOLAR 1/12</t>
  </si>
  <si>
    <t>SAMANTA CORREA MEZINES</t>
  </si>
  <si>
    <t>DECATHLON 1/2</t>
  </si>
  <si>
    <t>KALUNGA SHOP NITEROI</t>
  </si>
  <si>
    <t>G PET SHOP</t>
  </si>
  <si>
    <t>RAIA3421</t>
  </si>
  <si>
    <t>CIA DO DOCE</t>
  </si>
  <si>
    <t>MURALHA</t>
  </si>
  <si>
    <t>HF STUDIOHAIR</t>
  </si>
  <si>
    <t>KAMARO RACOES</t>
  </si>
  <si>
    <t>PET SHOP VOVO ZUZU</t>
  </si>
  <si>
    <t>DOCE ENERGIA</t>
  </si>
  <si>
    <t>KI CHOPP</t>
  </si>
  <si>
    <t>JOLUKAR COMUNICACAO VI</t>
  </si>
  <si>
    <t>CARREFOUR COM 2/8</t>
  </si>
  <si>
    <t xml:space="preserve">Petz </t>
  </si>
  <si>
    <t>Mp Frederico</t>
  </si>
  <si>
    <t>Pix Enel</t>
  </si>
  <si>
    <t xml:space="preserve">pg </t>
  </si>
  <si>
    <t>Riachuelo</t>
  </si>
  <si>
    <t>farmacia apolo x</t>
  </si>
  <si>
    <t>Katarynedamotta</t>
  </si>
  <si>
    <t>Carrefour Manilha</t>
  </si>
  <si>
    <t>GOlden fruit itauna</t>
  </si>
  <si>
    <t>Alipay</t>
  </si>
  <si>
    <t>Drogarias Pacheco</t>
  </si>
  <si>
    <t>intercont Supermac</t>
  </si>
  <si>
    <t>Esfirra trindade</t>
  </si>
  <si>
    <t>ton acai</t>
  </si>
  <si>
    <t>lj23 sh sao goncalo</t>
  </si>
  <si>
    <t>Auto Posto Monteiros D</t>
  </si>
  <si>
    <t>Carrefour 212</t>
  </si>
  <si>
    <t>golden fruit itauna</t>
  </si>
  <si>
    <t>Topfabuloso</t>
  </si>
  <si>
    <t>Bazar Agroverde</t>
  </si>
  <si>
    <t>Auto posto Ens</t>
  </si>
  <si>
    <t>Tatianaflores</t>
  </si>
  <si>
    <t>streaming amazonPrime pag(anual jun24)</t>
  </si>
  <si>
    <t>inter</t>
  </si>
  <si>
    <t>atacadao 202</t>
  </si>
  <si>
    <t>muralha</t>
  </si>
  <si>
    <t>lgmdistribuidorae</t>
  </si>
  <si>
    <t xml:space="preserve">padaria </t>
  </si>
  <si>
    <t>r de brito neto</t>
  </si>
  <si>
    <t>auto posto ens</t>
  </si>
  <si>
    <t>carrefour manilha</t>
  </si>
  <si>
    <t>feira</t>
  </si>
  <si>
    <t>MPlanchonete</t>
  </si>
  <si>
    <t>puro gas mutua</t>
  </si>
  <si>
    <t>to aki estacionamento 11</t>
  </si>
  <si>
    <t>ton personalize</t>
  </si>
  <si>
    <t>adonai</t>
  </si>
  <si>
    <t>pernambucanas</t>
  </si>
  <si>
    <t>mc donalds</t>
  </si>
  <si>
    <t>lanchonete patio alcantara</t>
  </si>
  <si>
    <t>sams clib</t>
  </si>
  <si>
    <t>Atacadao 202</t>
  </si>
  <si>
    <t>hs cortes Madeiras E F</t>
  </si>
  <si>
    <t>Casa e video</t>
  </si>
  <si>
    <t>Antonia lindalva leal</t>
  </si>
  <si>
    <t>Casas Pedro</t>
  </si>
  <si>
    <t>clodflare</t>
  </si>
  <si>
    <t>iof clodflare</t>
  </si>
  <si>
    <t>JLojas americanas</t>
  </si>
  <si>
    <t>lj26 sh sao goncalo</t>
  </si>
  <si>
    <t>239 sao goncalo shopping</t>
  </si>
  <si>
    <t>HF Studiohair</t>
  </si>
  <si>
    <t>mercado novo rio</t>
  </si>
  <si>
    <t>shopping das gramas</t>
  </si>
  <si>
    <t xml:space="preserve">puro gas </t>
  </si>
  <si>
    <t>rn solucoes financeiras</t>
  </si>
  <si>
    <t>samanta correa</t>
  </si>
  <si>
    <t>katiacristina</t>
  </si>
  <si>
    <t>mundodaspecas</t>
  </si>
  <si>
    <t>shop do pijama</t>
  </si>
  <si>
    <t>rede ecomonia</t>
  </si>
  <si>
    <t>Drogaria pacheco</t>
  </si>
  <si>
    <t>carrefour posto</t>
  </si>
  <si>
    <t>restaurante partage lt</t>
  </si>
  <si>
    <t>elite note</t>
  </si>
  <si>
    <t>grupoideal</t>
  </si>
  <si>
    <t>publix</t>
  </si>
  <si>
    <t>edineyguimaraes</t>
  </si>
  <si>
    <t>pasta di colina</t>
  </si>
  <si>
    <t>propark</t>
  </si>
  <si>
    <t>mina da prata partage</t>
  </si>
  <si>
    <t>assai atacadista</t>
  </si>
  <si>
    <t>sobrancelhas</t>
  </si>
  <si>
    <t>hebromcomercio</t>
  </si>
  <si>
    <t>cairofirmino</t>
  </si>
  <si>
    <t>gnv</t>
  </si>
  <si>
    <t>Adonai</t>
  </si>
  <si>
    <t>catiada</t>
  </si>
  <si>
    <t>gasolina</t>
  </si>
  <si>
    <t>ReginaTortas</t>
  </si>
  <si>
    <t>marmita</t>
  </si>
  <si>
    <t>pad conf goncalense</t>
  </si>
  <si>
    <t>autopostoluz</t>
  </si>
  <si>
    <t>Silviabatista</t>
  </si>
  <si>
    <t>Silva fonseca comercio</t>
  </si>
  <si>
    <t>fjlanchoneteltda</t>
  </si>
  <si>
    <t>carrefour pst 304 pma</t>
  </si>
  <si>
    <t>sams</t>
  </si>
  <si>
    <t>carrefour rjm</t>
  </si>
  <si>
    <t>racoessilvamuniz</t>
  </si>
  <si>
    <t>esfirra trindade</t>
  </si>
  <si>
    <t>comercial petroleo</t>
  </si>
  <si>
    <t>posto helloa</t>
  </si>
  <si>
    <t>eskimo</t>
  </si>
  <si>
    <t>G pet shop</t>
  </si>
  <si>
    <t>hs cortes madeiras</t>
  </si>
  <si>
    <t>kamaro racoes</t>
  </si>
  <si>
    <t>casa e video</t>
  </si>
  <si>
    <t>galao agua</t>
  </si>
  <si>
    <t>loteria</t>
  </si>
  <si>
    <t>cirurgia amy</t>
  </si>
  <si>
    <t>cia doce</t>
  </si>
  <si>
    <t>gladiador remedio amy</t>
  </si>
  <si>
    <t>park farma remedio</t>
  </si>
  <si>
    <t>cirurgia amy anestesista</t>
  </si>
  <si>
    <t>regina tortas</t>
  </si>
  <si>
    <t>pizza itauna</t>
  </si>
  <si>
    <t xml:space="preserve">Eletrocardiograma </t>
  </si>
  <si>
    <t>alfredo backer</t>
  </si>
  <si>
    <t>dermatologia</t>
  </si>
  <si>
    <t>chavao(hemograga + bioquimica)</t>
  </si>
  <si>
    <t>chavao(bethoven)</t>
  </si>
  <si>
    <t>usg</t>
  </si>
  <si>
    <t>vestido</t>
  </si>
  <si>
    <t>tripag</t>
  </si>
  <si>
    <t>edineyguimaraesde</t>
  </si>
  <si>
    <t>aquafarma</t>
  </si>
  <si>
    <t>sao goncalo</t>
  </si>
  <si>
    <t>compao</t>
  </si>
  <si>
    <t>edney guimaraes</t>
  </si>
  <si>
    <t>chegamais</t>
  </si>
  <si>
    <t xml:space="preserve">purogas mutua </t>
  </si>
  <si>
    <t>AcquaFarma</t>
  </si>
  <si>
    <t>mutua</t>
  </si>
  <si>
    <t>racoessilva muniz</t>
  </si>
  <si>
    <t>restaurante nova</t>
  </si>
  <si>
    <t>bistro vegano</t>
  </si>
  <si>
    <t>jjm(picolescarrefour)</t>
  </si>
  <si>
    <t>chavao</t>
  </si>
  <si>
    <t>grupo genius brasil</t>
  </si>
  <si>
    <t>ssd</t>
  </si>
  <si>
    <t>cinemark</t>
  </si>
  <si>
    <t>roupas fitness</t>
  </si>
  <si>
    <t>cadeira</t>
  </si>
  <si>
    <t>petshop</t>
  </si>
  <si>
    <t>veterinaria</t>
  </si>
  <si>
    <t>lava jato</t>
  </si>
  <si>
    <t>portilho e goncalves c</t>
  </si>
  <si>
    <t>berlinf8Centro automotivo</t>
  </si>
  <si>
    <t>rafitto empadas</t>
  </si>
  <si>
    <t>pollo do fonseca</t>
  </si>
  <si>
    <t>Americanas</t>
  </si>
  <si>
    <t xml:space="preserve">assai </t>
  </si>
  <si>
    <t>tatiana barreto lima</t>
  </si>
  <si>
    <t>toparena</t>
  </si>
  <si>
    <t>fsSao goncalo Av pr</t>
  </si>
  <si>
    <t>posto gira nova</t>
  </si>
  <si>
    <t>francisco deassis</t>
  </si>
  <si>
    <t>netshoes</t>
  </si>
  <si>
    <t>53 mutua</t>
  </si>
  <si>
    <t>tere verduras</t>
  </si>
  <si>
    <t>hg figueiredo</t>
  </si>
  <si>
    <t>sorvetes</t>
  </si>
  <si>
    <t>samanta</t>
  </si>
  <si>
    <t>ventilador amazopn</t>
  </si>
  <si>
    <t>cafe</t>
  </si>
  <si>
    <t xml:space="preserve">racao </t>
  </si>
  <si>
    <t>corte cabelo arthur</t>
  </si>
  <si>
    <t>camisas</t>
  </si>
  <si>
    <t>oculos</t>
  </si>
  <si>
    <t>pijama</t>
  </si>
  <si>
    <t>Racao AMY</t>
  </si>
  <si>
    <t>lampada carro</t>
  </si>
  <si>
    <t>pedagio</t>
  </si>
  <si>
    <t>manutencao casa</t>
  </si>
  <si>
    <t>troca de oleo</t>
  </si>
  <si>
    <t>bolo</t>
  </si>
  <si>
    <t>comida tortuguita</t>
  </si>
  <si>
    <t>camisa barcelona</t>
  </si>
  <si>
    <t>sacolao</t>
  </si>
  <si>
    <t>jogo nitendo</t>
  </si>
  <si>
    <t>manutencao gnv</t>
  </si>
  <si>
    <t>vistoria gnv</t>
  </si>
  <si>
    <t>magna cozinha e f</t>
  </si>
  <si>
    <t>drograria</t>
  </si>
  <si>
    <t>cea calca</t>
  </si>
  <si>
    <t>arena</t>
  </si>
  <si>
    <t>frango</t>
  </si>
  <si>
    <t>curso frances</t>
  </si>
  <si>
    <t>- previsao - 1700</t>
  </si>
  <si>
    <t>pnwu fazer</t>
  </si>
  <si>
    <t>Remedido Pingo</t>
  </si>
  <si>
    <t>Pingo</t>
  </si>
  <si>
    <t>Manutencao Veiculo</t>
  </si>
  <si>
    <t>otica rhema</t>
  </si>
  <si>
    <t>Tratamento Ozonio</t>
  </si>
  <si>
    <t>Lava a jato</t>
  </si>
  <si>
    <t>mangueira piscina</t>
  </si>
  <si>
    <t>gas de cozinha</t>
  </si>
  <si>
    <t>raçao AMY</t>
  </si>
  <si>
    <t>cinto de seguranca</t>
  </si>
  <si>
    <t>raçõ tortuguita</t>
  </si>
  <si>
    <t>racao</t>
  </si>
  <si>
    <t>sorvete</t>
  </si>
  <si>
    <t>empada</t>
  </si>
  <si>
    <t xml:space="preserve">pes e patas </t>
  </si>
  <si>
    <t>bk</t>
  </si>
  <si>
    <t>gasolina carrefour</t>
  </si>
  <si>
    <t>Bateria</t>
  </si>
  <si>
    <t>Gym pass</t>
  </si>
  <si>
    <t>Drograria pacheco</t>
  </si>
  <si>
    <t>Bazar</t>
  </si>
  <si>
    <t>Centro automotivo</t>
  </si>
  <si>
    <t>Posto matriz</t>
  </si>
  <si>
    <t>Sonetro producoes</t>
  </si>
  <si>
    <t>Afrikagourmet</t>
  </si>
  <si>
    <t>Gympass</t>
  </si>
  <si>
    <t>Bazar agro verde</t>
  </si>
  <si>
    <t>Papelaria leleco</t>
  </si>
  <si>
    <t>Ifood</t>
  </si>
  <si>
    <t>Aluguel filme</t>
  </si>
  <si>
    <t xml:space="preserve">Cobasi </t>
  </si>
  <si>
    <t>petlove ração</t>
  </si>
  <si>
    <t>macdonalds</t>
  </si>
  <si>
    <t>Moringa restaurante</t>
  </si>
  <si>
    <t>horti fruit</t>
  </si>
  <si>
    <t>Carrefour post</t>
  </si>
  <si>
    <t>lanchonete</t>
  </si>
  <si>
    <t>Carrefour mercado</t>
  </si>
  <si>
    <t>centro automotivo</t>
  </si>
  <si>
    <t>posto luz</t>
  </si>
  <si>
    <t>carrefour gnv</t>
  </si>
  <si>
    <t>Arquiteto de bolso</t>
  </si>
  <si>
    <t>Carrefour</t>
  </si>
  <si>
    <t>Bistro vegano</t>
  </si>
  <si>
    <t>StartBucks</t>
  </si>
  <si>
    <t>doces</t>
  </si>
  <si>
    <t>steam</t>
  </si>
  <si>
    <t>Dermato AMy</t>
  </si>
  <si>
    <t>pecas maquina</t>
  </si>
  <si>
    <t>peca maquina</t>
  </si>
  <si>
    <t>Remedio AMy</t>
  </si>
  <si>
    <t>remedioa amy</t>
  </si>
  <si>
    <t>bolo amy</t>
  </si>
  <si>
    <t>peca moto</t>
  </si>
  <si>
    <t>gasolina moto</t>
  </si>
  <si>
    <t>fluido de radiador</t>
  </si>
  <si>
    <t>Bisturi</t>
  </si>
  <si>
    <t>remedio amy</t>
  </si>
  <si>
    <t>Agua</t>
  </si>
  <si>
    <t>airbnb</t>
  </si>
  <si>
    <t>carshow</t>
  </si>
  <si>
    <t>americanas</t>
  </si>
  <si>
    <t>esfirra</t>
  </si>
  <si>
    <t>acailand buzios</t>
  </si>
  <si>
    <t>maraja restaurante</t>
  </si>
  <si>
    <t>princesa mercado</t>
  </si>
  <si>
    <t>forneria picardia de B</t>
  </si>
  <si>
    <t>posto salinas</t>
  </si>
  <si>
    <t>pes e patas giargicid</t>
  </si>
  <si>
    <t>petlove (giargia)</t>
  </si>
  <si>
    <t>calçados</t>
  </si>
  <si>
    <t>petlove</t>
  </si>
  <si>
    <t>raquel calçados</t>
  </si>
  <si>
    <t>c c niteroi</t>
  </si>
  <si>
    <t>AquaWorld</t>
  </si>
  <si>
    <t>caminho da moda</t>
  </si>
  <si>
    <t>petrolagos</t>
  </si>
  <si>
    <t>posto ubajara</t>
  </si>
  <si>
    <t>Muralha varejo e atacado</t>
  </si>
  <si>
    <t>pap livra</t>
  </si>
  <si>
    <t>internet</t>
  </si>
  <si>
    <t>lazer</t>
  </si>
  <si>
    <t>DayseComercio</t>
  </si>
  <si>
    <t>pet</t>
  </si>
  <si>
    <t>Empada</t>
  </si>
  <si>
    <t>Posto</t>
  </si>
  <si>
    <t>Posto gas</t>
  </si>
  <si>
    <t>Farmacia</t>
  </si>
  <si>
    <t>mercado publix</t>
  </si>
  <si>
    <t xml:space="preserve">Carrefour </t>
  </si>
  <si>
    <t>GNV</t>
  </si>
  <si>
    <t xml:space="preserve">Leroy merlin </t>
  </si>
  <si>
    <t>Casas pedro</t>
  </si>
  <si>
    <t>Material escolar</t>
  </si>
  <si>
    <t>Gasolina moto</t>
  </si>
  <si>
    <t>aquario</t>
  </si>
  <si>
    <t>guaravita</t>
  </si>
  <si>
    <t>drog tamoio</t>
  </si>
  <si>
    <t>pacheco</t>
  </si>
  <si>
    <t>Minecraft</t>
  </si>
  <si>
    <t>casapedro</t>
  </si>
  <si>
    <t>CiaDoce</t>
  </si>
  <si>
    <t>Gasolina</t>
  </si>
  <si>
    <t>Manutenção  veiculo</t>
  </si>
  <si>
    <t>casa do construtor</t>
  </si>
  <si>
    <t>ASSAI</t>
  </si>
  <si>
    <t>Corte cabelo</t>
  </si>
  <si>
    <t>beleza</t>
  </si>
  <si>
    <t>racao tortuguita</t>
  </si>
  <si>
    <t>Intercontinental</t>
  </si>
  <si>
    <t>Roupas de cama</t>
  </si>
  <si>
    <t>utilidades domesticas</t>
  </si>
  <si>
    <t>BK</t>
  </si>
  <si>
    <t>- previsao - 3472,50</t>
  </si>
  <si>
    <t>Amazon</t>
  </si>
  <si>
    <t>Gisele Nunes Barbosa</t>
  </si>
  <si>
    <t>Lojas americasna</t>
  </si>
  <si>
    <t>Cea</t>
  </si>
  <si>
    <t>vestuario</t>
  </si>
  <si>
    <t>Carrefour PST 304</t>
  </si>
  <si>
    <t>Pag Dayse10comercio</t>
  </si>
  <si>
    <t>Fornecedora corintians</t>
  </si>
  <si>
    <t>Padaria delicia</t>
  </si>
  <si>
    <t>Petlove</t>
  </si>
  <si>
    <t>AutopostoLuz</t>
  </si>
  <si>
    <t>Cacula</t>
  </si>
  <si>
    <t>Magna Cozinha e forn</t>
  </si>
  <si>
    <t>MCDOnalds Carrefour Manilha</t>
  </si>
  <si>
    <t>Otica Bela visao</t>
  </si>
  <si>
    <t>drogaria Pacheco</t>
  </si>
  <si>
    <t>NetShoes</t>
  </si>
  <si>
    <t>Natura</t>
  </si>
  <si>
    <t>Duda Fashion</t>
  </si>
  <si>
    <t>EfrainMotos</t>
  </si>
  <si>
    <t>ShoppingBoulevard</t>
  </si>
  <si>
    <t>Subway</t>
  </si>
  <si>
    <t>Belmazal Restaurante</t>
  </si>
  <si>
    <t>Anhanguera Aline PEP</t>
  </si>
  <si>
    <t>O Boticario</t>
  </si>
  <si>
    <t>Atacadao Posto 13</t>
  </si>
  <si>
    <t>Posto Matrix</t>
  </si>
  <si>
    <t>Posto Ubajara</t>
  </si>
  <si>
    <t>Atacadao 202 as</t>
  </si>
  <si>
    <t>Mercado</t>
  </si>
  <si>
    <t>S3</t>
  </si>
  <si>
    <t>Golden Fruit</t>
  </si>
  <si>
    <t>AutoPostoLuz</t>
  </si>
  <si>
    <t>Kalunga sao goncalo</t>
  </si>
  <si>
    <t xml:space="preserve">O amigao </t>
  </si>
  <si>
    <t>Lojas americanas</t>
  </si>
  <si>
    <t>Car show</t>
  </si>
  <si>
    <t>Cartao Aline + Saida de campo</t>
  </si>
  <si>
    <t xml:space="preserve">Atacadao 202 as </t>
  </si>
  <si>
    <t>Carrefour Posto</t>
  </si>
  <si>
    <t>Carrefour Mercado</t>
  </si>
  <si>
    <t>Carrefour manilha</t>
  </si>
  <si>
    <t>appletv</t>
  </si>
  <si>
    <t>Boulevard 425 comerci</t>
  </si>
  <si>
    <t>Atacadao posto 13</t>
  </si>
  <si>
    <t>Pag e par</t>
  </si>
  <si>
    <t>Carrefour Cal</t>
  </si>
  <si>
    <t>Cinemark</t>
  </si>
  <si>
    <t>gastos livres</t>
  </si>
  <si>
    <t>livros Arthur</t>
  </si>
  <si>
    <t>IPVA carro</t>
  </si>
  <si>
    <t>previsao - 877</t>
  </si>
  <si>
    <t>Pneu traseio moto</t>
  </si>
  <si>
    <t>previsao - 274</t>
  </si>
  <si>
    <t>IPTU</t>
  </si>
  <si>
    <t>previsao - 64,90 * 12</t>
  </si>
  <si>
    <t>suspensao carro</t>
  </si>
  <si>
    <t>previsao - 1500</t>
  </si>
  <si>
    <t>cinto passageiro</t>
  </si>
  <si>
    <t>previsao - 1300</t>
  </si>
  <si>
    <t>manutenção moto</t>
  </si>
  <si>
    <t>previsao - 170 + 300</t>
  </si>
  <si>
    <t>Objectiva Roupas</t>
  </si>
  <si>
    <t>Gladiador</t>
  </si>
  <si>
    <t>casa linda</t>
  </si>
  <si>
    <t xml:space="preserve">gastos livres </t>
  </si>
  <si>
    <t>Puro gas Mutua posto</t>
  </si>
  <si>
    <t>Eskimo</t>
  </si>
  <si>
    <t>Cantina Alfredo Backer Camisa</t>
  </si>
  <si>
    <t>Posto Matriz</t>
  </si>
  <si>
    <t>Drogaria imperial</t>
  </si>
  <si>
    <t>saude</t>
  </si>
  <si>
    <t>Grupo genius Brasil</t>
  </si>
  <si>
    <t>Irmaosmanha alcantara</t>
  </si>
  <si>
    <t>Kr Eletronica</t>
  </si>
  <si>
    <t>puro gas Mutua posto</t>
  </si>
  <si>
    <t>Atacado Posto13</t>
  </si>
  <si>
    <t>OutBack</t>
  </si>
  <si>
    <t>Samanta correa</t>
  </si>
  <si>
    <t>Drogaria Jucas</t>
  </si>
  <si>
    <t>Posto Mendes</t>
  </si>
  <si>
    <t>Uber Trip</t>
  </si>
  <si>
    <t>uber</t>
  </si>
  <si>
    <t>Amazon Market Place</t>
  </si>
  <si>
    <t>Sorvetes Moure</t>
  </si>
  <si>
    <t>Publix Mercados</t>
  </si>
  <si>
    <t>Malu 2 Prod natura</t>
  </si>
  <si>
    <t>Drogaraia Tamoio</t>
  </si>
  <si>
    <t>Assai Atacadista</t>
  </si>
  <si>
    <t>Drogaria Tamoio</t>
  </si>
  <si>
    <t>Tampa porta mala carro</t>
  </si>
  <si>
    <t>Auto Posto</t>
  </si>
  <si>
    <t>credito</t>
  </si>
  <si>
    <t>bradesco</t>
  </si>
  <si>
    <t>nubank</t>
  </si>
  <si>
    <t>inter empresa</t>
  </si>
  <si>
    <t>santander</t>
  </si>
  <si>
    <t>expected</t>
  </si>
  <si>
    <t>payed</t>
  </si>
  <si>
    <t xml:space="preserve">calca arthur </t>
  </si>
  <si>
    <t>Muralha varejo</t>
  </si>
  <si>
    <t>Lanche BK</t>
  </si>
  <si>
    <t>cea calca arthur</t>
  </si>
  <si>
    <t>halipao pad e merc</t>
  </si>
  <si>
    <t>Camiseta Arthur</t>
  </si>
  <si>
    <t>Kalunga carderno</t>
  </si>
  <si>
    <t>casa e video panela</t>
  </si>
  <si>
    <t xml:space="preserve">gnv carro </t>
  </si>
  <si>
    <t xml:space="preserve">kifesta - embalagem </t>
  </si>
  <si>
    <t>Drogaria tamoio remedio AMY</t>
  </si>
  <si>
    <t>Amy</t>
  </si>
  <si>
    <t>Comida tortuguita</t>
  </si>
  <si>
    <t>mercado carrefour</t>
  </si>
  <si>
    <t>capa + pelicula+ chip</t>
  </si>
  <si>
    <t>doacao</t>
  </si>
  <si>
    <t>PIX</t>
  </si>
  <si>
    <t>exame amy</t>
  </si>
  <si>
    <t>mercado guanabara</t>
  </si>
  <si>
    <t>grd moto</t>
  </si>
  <si>
    <t>grt moto</t>
  </si>
  <si>
    <t>cuidados pessoais</t>
  </si>
  <si>
    <t>MERCADO</t>
  </si>
  <si>
    <t>extras</t>
  </si>
  <si>
    <t>subcategoria</t>
  </si>
  <si>
    <t>tenis netshoes</t>
  </si>
  <si>
    <t>vestiario</t>
  </si>
  <si>
    <t>niter rotativo</t>
  </si>
  <si>
    <t>emballart</t>
  </si>
  <si>
    <t>Drogaria união</t>
  </si>
  <si>
    <t>car show</t>
  </si>
  <si>
    <t>manutencao de veiculo</t>
  </si>
  <si>
    <t>McDonald’s</t>
  </si>
  <si>
    <t>Carrefour eco</t>
  </si>
  <si>
    <t>Chavao vet</t>
  </si>
  <si>
    <t>luar rede de postos</t>
  </si>
  <si>
    <t>o amigao</t>
  </si>
  <si>
    <t>cuidados com a casa</t>
  </si>
  <si>
    <t>point dos animais</t>
  </si>
  <si>
    <t>amy</t>
  </si>
  <si>
    <t>carrefour ram</t>
  </si>
  <si>
    <t>supermercados guanabara</t>
  </si>
  <si>
    <t>McDonalds</t>
  </si>
  <si>
    <t>boulevard comercio</t>
  </si>
  <si>
    <t>presentes do mes</t>
  </si>
  <si>
    <t>cacau show</t>
  </si>
  <si>
    <t>azul</t>
  </si>
  <si>
    <t>Luzia</t>
  </si>
  <si>
    <t>presentes de natal</t>
  </si>
  <si>
    <t>officina moto</t>
  </si>
  <si>
    <t>veterinario sao bento</t>
  </si>
  <si>
    <t>pix nubank</t>
  </si>
  <si>
    <t>debito</t>
  </si>
  <si>
    <t>pedagios</t>
  </si>
  <si>
    <t>limite de credit</t>
  </si>
  <si>
    <t>limite de credito</t>
  </si>
  <si>
    <t>iof limite de credito</t>
  </si>
  <si>
    <t>saque</t>
  </si>
  <si>
    <t>assai atacadsta</t>
  </si>
  <si>
    <t>Cartao aline</t>
  </si>
  <si>
    <t>cartao aline</t>
  </si>
  <si>
    <t>pix futebol</t>
  </si>
  <si>
    <t>futebol</t>
  </si>
  <si>
    <t>tarifa bancaria prime</t>
  </si>
  <si>
    <t>tarifa bancaria</t>
  </si>
  <si>
    <t>pix droga vet</t>
  </si>
  <si>
    <t>encapar banco motor</t>
  </si>
  <si>
    <t>gas</t>
  </si>
  <si>
    <t>material moto</t>
  </si>
  <si>
    <t>debito em conta</t>
  </si>
  <si>
    <t>cartao nubank</t>
  </si>
  <si>
    <t>cartao bradesco</t>
  </si>
  <si>
    <t>Gasolin</t>
  </si>
  <si>
    <t>prediction</t>
  </si>
  <si>
    <t>conta de energia</t>
  </si>
  <si>
    <t>predicion</t>
  </si>
  <si>
    <t>livro arthur</t>
  </si>
  <si>
    <t>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</si>
</sst>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d"/>
    <numFmt numFmtId="165" formatCode="mmmd"/>
    <numFmt numFmtId="166" formatCode="[$R$ -416]#,##0.00"/>
    <numFmt numFmtId="167" formatCode="mmm/d"/>
    <numFmt numFmtId="168" formatCode="d/m"/>
    <numFmt numFmtId="169" formatCode="dd/mm"/>
    <numFmt numFmtId="170" formatCode="dd/mm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1F1F1F"/>
      <name val="&quot;Google Sans&quot;"/>
    </font>
    <font>
      <b/>
      <color theme="1"/>
      <name val="Arial"/>
    </font>
    <font>
      <sz val="9.0"/>
      <color rgb="FF000000"/>
      <name val="&quot;Google Sans Mono&quot;"/>
    </font>
    <font>
      <sz val="9.0"/>
      <color rgb="FF1155CC"/>
      <name val="&quot;Google Sans Mono&quot;"/>
    </font>
    <font>
      <color rgb="FF0000FF"/>
      <name val="Arial"/>
      <scheme val="minor"/>
    </font>
    <font>
      <u/>
      <color rgb="FF0000FF"/>
    </font>
    <font>
      <sz val="9.0"/>
      <color rgb="FF4A4A4A"/>
      <name val="Arial"/>
    </font>
    <font>
      <sz val="9.0"/>
      <color rgb="FF000000"/>
      <name val="Arial"/>
    </font>
    <font>
      <sz val="9.0"/>
      <color rgb="FF4A4A4A"/>
      <name val="BradescoSans"/>
    </font>
    <font>
      <sz val="11.0"/>
      <color rgb="FF000000"/>
      <name val="BradescoSans"/>
    </font>
    <font>
      <b/>
      <color theme="1"/>
      <name val="Arial"/>
      <scheme val="minor"/>
    </font>
    <font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A64D79"/>
        <bgColor rgb="FFA64D79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164" xfId="0" applyAlignment="1" applyFill="1" applyFont="1" applyNumberFormat="1">
      <alignment readingOrder="0"/>
    </xf>
    <xf borderId="0" fillId="4" fontId="1" numFmtId="165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5" fontId="1" numFmtId="0" xfId="0" applyFill="1" applyFont="1"/>
    <xf borderId="0" fillId="0" fontId="1" numFmtId="166" xfId="0" applyFont="1" applyNumberFormat="1"/>
    <xf borderId="0" fillId="2" fontId="1" numFmtId="166" xfId="0" applyFont="1" applyNumberFormat="1"/>
    <xf borderId="0" fillId="3" fontId="1" numFmtId="166" xfId="0" applyFont="1" applyNumberFormat="1"/>
    <xf borderId="0" fillId="4" fontId="1" numFmtId="166" xfId="0" applyFont="1" applyNumberFormat="1"/>
    <xf borderId="0" fillId="6" fontId="1" numFmtId="0" xfId="0" applyFill="1" applyFont="1"/>
    <xf borderId="0" fillId="7" fontId="1" numFmtId="0" xfId="0" applyFill="1" applyFont="1"/>
    <xf borderId="0" fillId="0" fontId="1" numFmtId="0" xfId="0" applyFont="1"/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6" fontId="2" numFmtId="0" xfId="0" applyAlignment="1" applyFont="1">
      <alignment horizontal="left" readingOrder="0"/>
    </xf>
    <xf borderId="0" fillId="6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4" fontId="1" numFmtId="0" xfId="0" applyFont="1"/>
    <xf borderId="0" fillId="2" fontId="1" numFmtId="0" xfId="0" applyFont="1"/>
    <xf borderId="0" fillId="0" fontId="1" numFmtId="166" xfId="0" applyAlignment="1" applyFont="1" applyNumberFormat="1">
      <alignment readingOrder="0"/>
    </xf>
    <xf borderId="0" fillId="4" fontId="1" numFmtId="166" xfId="0" applyAlignment="1" applyFont="1" applyNumberFormat="1">
      <alignment readingOrder="0"/>
    </xf>
    <xf borderId="1" fillId="5" fontId="4" numFmtId="0" xfId="0" applyAlignment="1" applyBorder="1" applyFont="1">
      <alignment vertical="bottom"/>
    </xf>
    <xf borderId="2" fillId="5" fontId="4" numFmtId="166" xfId="0" applyAlignment="1" applyBorder="1" applyFont="1" applyNumberFormat="1">
      <alignment vertical="bottom"/>
    </xf>
    <xf borderId="0" fillId="0" fontId="1" numFmtId="10" xfId="0" applyFont="1" applyNumberFormat="1"/>
    <xf borderId="0" fillId="4" fontId="1" numFmtId="10" xfId="0" applyFont="1" applyNumberFormat="1"/>
    <xf borderId="2" fillId="7" fontId="4" numFmtId="0" xfId="0" applyAlignment="1" applyBorder="1" applyFont="1">
      <alignment vertical="bottom"/>
    </xf>
    <xf borderId="2" fillId="7" fontId="4" numFmtId="166" xfId="0" applyAlignment="1" applyBorder="1" applyFont="1" applyNumberFormat="1">
      <alignment vertical="bottom"/>
    </xf>
    <xf borderId="2" fillId="6" fontId="4" numFmtId="0" xfId="0" applyAlignment="1" applyBorder="1" applyFont="1">
      <alignment vertical="bottom"/>
    </xf>
    <xf borderId="2" fillId="6" fontId="4" numFmtId="166" xfId="0" applyAlignment="1" applyBorder="1" applyFont="1" applyNumberFormat="1">
      <alignment vertical="bottom"/>
    </xf>
    <xf borderId="2" fillId="8" fontId="4" numFmtId="0" xfId="0" applyAlignment="1" applyBorder="1" applyFill="1" applyFont="1">
      <alignment vertical="bottom"/>
    </xf>
    <xf borderId="0" fillId="9" fontId="5" numFmtId="0" xfId="0" applyFill="1" applyFon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10" fontId="1" numFmtId="0" xfId="0" applyAlignment="1" applyFill="1" applyFont="1">
      <alignment readingOrder="0"/>
    </xf>
    <xf borderId="0" fillId="0" fontId="1" numFmtId="166" xfId="0" applyAlignment="1" applyFont="1" applyNumberFormat="1">
      <alignment horizontal="right" readingOrder="0"/>
    </xf>
    <xf borderId="0" fillId="10" fontId="1" numFmtId="0" xfId="0" applyFont="1"/>
    <xf borderId="0" fillId="9" fontId="6" numFmtId="166" xfId="0" applyAlignment="1" applyFont="1" applyNumberFormat="1">
      <alignment readingOrder="0"/>
    </xf>
    <xf borderId="0" fillId="2" fontId="1" numFmtId="166" xfId="0" applyAlignment="1" applyFont="1" applyNumberFormat="1">
      <alignment horizontal="right" readingOrder="0"/>
    </xf>
    <xf borderId="0" fillId="0" fontId="7" numFmtId="166" xfId="0" applyAlignment="1" applyFont="1" applyNumberFormat="1">
      <alignment horizontal="right" readingOrder="0"/>
    </xf>
    <xf borderId="0" fillId="0" fontId="1" numFmtId="168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6" xfId="0" applyBorder="1" applyFont="1" applyNumberFormat="1"/>
    <xf borderId="0" fillId="0" fontId="8" numFmtId="0" xfId="0" applyAlignment="1" applyFont="1">
      <alignment readingOrder="0"/>
    </xf>
    <xf borderId="0" fillId="11" fontId="1" numFmtId="0" xfId="0" applyFill="1" applyFont="1"/>
    <xf borderId="0" fillId="0" fontId="1" numFmtId="169" xfId="0" applyAlignment="1" applyFont="1" applyNumberFormat="1">
      <alignment readingOrder="0"/>
    </xf>
    <xf borderId="0" fillId="9" fontId="9" numFmtId="0" xfId="0" applyAlignment="1" applyFont="1">
      <alignment readingOrder="0"/>
    </xf>
    <xf borderId="0" fillId="9" fontId="10" numFmtId="0" xfId="0" applyAlignment="1" applyFont="1">
      <alignment readingOrder="0"/>
    </xf>
    <xf borderId="0" fillId="9" fontId="11" numFmtId="0" xfId="0" applyAlignment="1" applyFont="1">
      <alignment readingOrder="0"/>
    </xf>
    <xf borderId="0" fillId="9" fontId="12" numFmtId="0" xfId="0" applyAlignment="1" applyFont="1">
      <alignment readingOrder="0"/>
    </xf>
    <xf borderId="0" fillId="9" fontId="6" numFmtId="166" xfId="0" applyFont="1" applyNumberFormat="1"/>
    <xf borderId="0" fillId="11" fontId="1" numFmtId="0" xfId="0" applyAlignment="1" applyFont="1">
      <alignment readingOrder="0"/>
    </xf>
    <xf borderId="0" fillId="11" fontId="1" numFmtId="166" xfId="0" applyAlignment="1" applyFont="1" applyNumberFormat="1">
      <alignment horizontal="right" readingOrder="0"/>
    </xf>
    <xf borderId="0" fillId="11" fontId="1" numFmtId="168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9" fontId="14" numFmtId="166" xfId="0" applyAlignment="1" applyFont="1" applyNumberFormat="1">
      <alignment horizontal="right" readingOrder="0"/>
    </xf>
  </cellXfs>
  <cellStyles count="1">
    <cellStyle xfId="0" name="Normal" builtinId="0"/>
  </cellStyles>
  <dxfs count="3">
    <dxf>
      <font/>
      <fill>
        <patternFill patternType="solid">
          <fgColor theme="5"/>
          <bgColor theme="5"/>
        </patternFill>
      </fill>
      <border/>
    </dxf>
    <dxf>
      <font>
        <color rgb="FF0000FF"/>
      </font>
      <fill>
        <patternFill patternType="solid">
          <fgColor theme="0"/>
          <bgColor theme="0"/>
        </patternFill>
      </fill>
      <border/>
    </dxf>
    <dxf>
      <font>
        <color rgb="FFFF0000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pivotCacheDefinition" Target="pivotCache/pivotCacheDefinition1.xml"/><Relationship Id="rId41" Type="http://schemas.openxmlformats.org/officeDocument/2006/relationships/worksheet" Target="worksheets/sheet37.xml"/><Relationship Id="rId44" Type="http://schemas.openxmlformats.org/officeDocument/2006/relationships/pivotCacheDefinition" Target="pivotCache/pivotCacheDefinition3.xml"/><Relationship Id="rId43" Type="http://schemas.openxmlformats.org/officeDocument/2006/relationships/pivotCacheDefinition" Target="pivotCache/pivotCacheDefinition2.xml"/><Relationship Id="rId46" Type="http://schemas.openxmlformats.org/officeDocument/2006/relationships/pivotCacheDefinition" Target="pivotCache/pivotCacheDefinition5.xml"/><Relationship Id="rId45" Type="http://schemas.openxmlformats.org/officeDocument/2006/relationships/pivotCacheDefinition" Target="pivotCache/pivotCacheDefinition4.xml"/><Relationship Id="rId107" Type="http://schemas.openxmlformats.org/officeDocument/2006/relationships/pivotCacheDefinition" Target="pivotCache/pivotCacheDefinition66.xml"/><Relationship Id="rId106" Type="http://schemas.openxmlformats.org/officeDocument/2006/relationships/pivotCacheDefinition" Target="pivotCache/pivotCacheDefinition65.xml"/><Relationship Id="rId105" Type="http://schemas.openxmlformats.org/officeDocument/2006/relationships/pivotCacheDefinition" Target="pivotCache/pivotCacheDefinition64.xml"/><Relationship Id="rId104" Type="http://schemas.openxmlformats.org/officeDocument/2006/relationships/pivotCacheDefinition" Target="pivotCache/pivotCacheDefinition63.xml"/><Relationship Id="rId109" Type="http://schemas.openxmlformats.org/officeDocument/2006/relationships/pivotCacheDefinition" Target="pivotCache/pivotCacheDefinition68.xml"/><Relationship Id="rId108" Type="http://schemas.openxmlformats.org/officeDocument/2006/relationships/pivotCacheDefinition" Target="pivotCache/pivotCacheDefinition67.xml"/><Relationship Id="rId48" Type="http://schemas.openxmlformats.org/officeDocument/2006/relationships/pivotCacheDefinition" Target="pivotCache/pivotCacheDefinition7.xml"/><Relationship Id="rId47" Type="http://schemas.openxmlformats.org/officeDocument/2006/relationships/pivotCacheDefinition" Target="pivotCache/pivotCacheDefinition6.xml"/><Relationship Id="rId49" Type="http://schemas.openxmlformats.org/officeDocument/2006/relationships/pivotCacheDefinition" Target="pivotCache/pivotCacheDefinition8.xml"/><Relationship Id="rId103" Type="http://schemas.openxmlformats.org/officeDocument/2006/relationships/pivotCacheDefinition" Target="pivotCache/pivotCacheDefinition62.xml"/><Relationship Id="rId102" Type="http://schemas.openxmlformats.org/officeDocument/2006/relationships/pivotCacheDefinition" Target="pivotCache/pivotCacheDefinition61.xml"/><Relationship Id="rId101" Type="http://schemas.openxmlformats.org/officeDocument/2006/relationships/pivotCacheDefinition" Target="pivotCache/pivotCacheDefinition60.xml"/><Relationship Id="rId100" Type="http://schemas.openxmlformats.org/officeDocument/2006/relationships/pivotCacheDefinition" Target="pivotCache/pivotCacheDefinition59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pivotCacheDefinition" Target="pivotCache/pivotCacheDefinition88.xml"/><Relationship Id="rId128" Type="http://schemas.openxmlformats.org/officeDocument/2006/relationships/pivotCacheDefinition" Target="pivotCache/pivotCacheDefinition87.xml"/><Relationship Id="rId127" Type="http://schemas.openxmlformats.org/officeDocument/2006/relationships/pivotCacheDefinition" Target="pivotCache/pivotCacheDefinition86.xml"/><Relationship Id="rId126" Type="http://schemas.openxmlformats.org/officeDocument/2006/relationships/pivotCacheDefinition" Target="pivotCache/pivotCacheDefinition85.xml"/><Relationship Id="rId26" Type="http://schemas.openxmlformats.org/officeDocument/2006/relationships/worksheet" Target="worksheets/sheet22.xml"/><Relationship Id="rId121" Type="http://schemas.openxmlformats.org/officeDocument/2006/relationships/pivotCacheDefinition" Target="pivotCache/pivotCacheDefinition80.xml"/><Relationship Id="rId25" Type="http://schemas.openxmlformats.org/officeDocument/2006/relationships/worksheet" Target="worksheets/sheet21.xml"/><Relationship Id="rId120" Type="http://schemas.openxmlformats.org/officeDocument/2006/relationships/pivotCacheDefinition" Target="pivotCache/pivotCacheDefinition79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pivotCacheDefinition" Target="pivotCache/pivotCacheDefinition84.xml"/><Relationship Id="rId29" Type="http://schemas.openxmlformats.org/officeDocument/2006/relationships/worksheet" Target="worksheets/sheet25.xml"/><Relationship Id="rId124" Type="http://schemas.openxmlformats.org/officeDocument/2006/relationships/pivotCacheDefinition" Target="pivotCache/pivotCacheDefinition83.xml"/><Relationship Id="rId123" Type="http://schemas.openxmlformats.org/officeDocument/2006/relationships/pivotCacheDefinition" Target="pivotCache/pivotCacheDefinition82.xml"/><Relationship Id="rId122" Type="http://schemas.openxmlformats.org/officeDocument/2006/relationships/pivotCacheDefinition" Target="pivotCache/pivotCacheDefinition81.xml"/><Relationship Id="rId95" Type="http://schemas.openxmlformats.org/officeDocument/2006/relationships/pivotCacheDefinition" Target="pivotCache/pivotCacheDefinition54.xml"/><Relationship Id="rId94" Type="http://schemas.openxmlformats.org/officeDocument/2006/relationships/pivotCacheDefinition" Target="pivotCache/pivotCacheDefinition53.xml"/><Relationship Id="rId97" Type="http://schemas.openxmlformats.org/officeDocument/2006/relationships/pivotCacheDefinition" Target="pivotCache/pivotCacheDefinition56.xml"/><Relationship Id="rId96" Type="http://schemas.openxmlformats.org/officeDocument/2006/relationships/pivotCacheDefinition" Target="pivotCache/pivotCacheDefinition55.xml"/><Relationship Id="rId11" Type="http://schemas.openxmlformats.org/officeDocument/2006/relationships/worksheet" Target="worksheets/sheet7.xml"/><Relationship Id="rId99" Type="http://schemas.openxmlformats.org/officeDocument/2006/relationships/pivotCacheDefinition" Target="pivotCache/pivotCacheDefinition58.xml"/><Relationship Id="rId10" Type="http://schemas.openxmlformats.org/officeDocument/2006/relationships/worksheet" Target="worksheets/sheet6.xml"/><Relationship Id="rId98" Type="http://schemas.openxmlformats.org/officeDocument/2006/relationships/pivotCacheDefinition" Target="pivotCache/pivotCacheDefinition5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pivotCacheDefinition" Target="pivotCache/pivotCacheDefinition50.xml"/><Relationship Id="rId90" Type="http://schemas.openxmlformats.org/officeDocument/2006/relationships/pivotCacheDefinition" Target="pivotCache/pivotCacheDefinition49.xml"/><Relationship Id="rId93" Type="http://schemas.openxmlformats.org/officeDocument/2006/relationships/pivotCacheDefinition" Target="pivotCache/pivotCacheDefinition52.xml"/><Relationship Id="rId92" Type="http://schemas.openxmlformats.org/officeDocument/2006/relationships/pivotCacheDefinition" Target="pivotCache/pivotCacheDefinition51.xml"/><Relationship Id="rId118" Type="http://schemas.openxmlformats.org/officeDocument/2006/relationships/pivotCacheDefinition" Target="pivotCache/pivotCacheDefinition77.xml"/><Relationship Id="rId117" Type="http://schemas.openxmlformats.org/officeDocument/2006/relationships/pivotCacheDefinition" Target="pivotCache/pivotCacheDefinition76.xml"/><Relationship Id="rId116" Type="http://schemas.openxmlformats.org/officeDocument/2006/relationships/pivotCacheDefinition" Target="pivotCache/pivotCacheDefinition75.xml"/><Relationship Id="rId115" Type="http://schemas.openxmlformats.org/officeDocument/2006/relationships/pivotCacheDefinition" Target="pivotCache/pivotCacheDefinition74.xml"/><Relationship Id="rId119" Type="http://schemas.openxmlformats.org/officeDocument/2006/relationships/pivotCacheDefinition" Target="pivotCache/pivotCacheDefinition78.xml"/><Relationship Id="rId15" Type="http://schemas.openxmlformats.org/officeDocument/2006/relationships/worksheet" Target="worksheets/sheet11.xml"/><Relationship Id="rId110" Type="http://schemas.openxmlformats.org/officeDocument/2006/relationships/pivotCacheDefinition" Target="pivotCache/pivotCacheDefinition69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pivotCacheDefinition" Target="pivotCache/pivotCacheDefinition73.xml"/><Relationship Id="rId18" Type="http://schemas.openxmlformats.org/officeDocument/2006/relationships/worksheet" Target="worksheets/sheet14.xml"/><Relationship Id="rId113" Type="http://schemas.openxmlformats.org/officeDocument/2006/relationships/pivotCacheDefinition" Target="pivotCache/pivotCacheDefinition72.xml"/><Relationship Id="rId112" Type="http://schemas.openxmlformats.org/officeDocument/2006/relationships/pivotCacheDefinition" Target="pivotCache/pivotCacheDefinition71.xml"/><Relationship Id="rId111" Type="http://schemas.openxmlformats.org/officeDocument/2006/relationships/pivotCacheDefinition" Target="pivotCache/pivotCacheDefinition70.xml"/><Relationship Id="rId84" Type="http://schemas.openxmlformats.org/officeDocument/2006/relationships/pivotCacheDefinition" Target="pivotCache/pivotCacheDefinition43.xml"/><Relationship Id="rId83" Type="http://schemas.openxmlformats.org/officeDocument/2006/relationships/pivotCacheDefinition" Target="pivotCache/pivotCacheDefinition42.xml"/><Relationship Id="rId86" Type="http://schemas.openxmlformats.org/officeDocument/2006/relationships/pivotCacheDefinition" Target="pivotCache/pivotCacheDefinition45.xml"/><Relationship Id="rId85" Type="http://schemas.openxmlformats.org/officeDocument/2006/relationships/pivotCacheDefinition" Target="pivotCache/pivotCacheDefinition44.xml"/><Relationship Id="rId88" Type="http://schemas.openxmlformats.org/officeDocument/2006/relationships/pivotCacheDefinition" Target="pivotCache/pivotCacheDefinition47.xml"/><Relationship Id="rId87" Type="http://schemas.openxmlformats.org/officeDocument/2006/relationships/pivotCacheDefinition" Target="pivotCache/pivotCacheDefinition46.xml"/><Relationship Id="rId89" Type="http://schemas.openxmlformats.org/officeDocument/2006/relationships/pivotCacheDefinition" Target="pivotCache/pivotCacheDefinition48.xml"/><Relationship Id="rId80" Type="http://schemas.openxmlformats.org/officeDocument/2006/relationships/pivotCacheDefinition" Target="pivotCache/pivotCacheDefinition39.xml"/><Relationship Id="rId82" Type="http://schemas.openxmlformats.org/officeDocument/2006/relationships/pivotCacheDefinition" Target="pivotCache/pivotCacheDefinition41.xml"/><Relationship Id="rId81" Type="http://schemas.openxmlformats.org/officeDocument/2006/relationships/pivotCacheDefinition" Target="pivotCache/pivotCacheDefinition4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0" Type="http://schemas.openxmlformats.org/officeDocument/2006/relationships/pivotCacheDefinition" Target="pivotCache/pivotCacheDefinition99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pivotCacheDefinition" Target="pivotCache/pivotCacheDefinition32.xml"/><Relationship Id="rId72" Type="http://schemas.openxmlformats.org/officeDocument/2006/relationships/pivotCacheDefinition" Target="pivotCache/pivotCacheDefinition31.xml"/><Relationship Id="rId75" Type="http://schemas.openxmlformats.org/officeDocument/2006/relationships/pivotCacheDefinition" Target="pivotCache/pivotCacheDefinition34.xml"/><Relationship Id="rId74" Type="http://schemas.openxmlformats.org/officeDocument/2006/relationships/pivotCacheDefinition" Target="pivotCache/pivotCacheDefinition33.xml"/><Relationship Id="rId77" Type="http://schemas.openxmlformats.org/officeDocument/2006/relationships/pivotCacheDefinition" Target="pivotCache/pivotCacheDefinition36.xml"/><Relationship Id="rId76" Type="http://schemas.openxmlformats.org/officeDocument/2006/relationships/pivotCacheDefinition" Target="pivotCache/pivotCacheDefinition35.xml"/><Relationship Id="rId79" Type="http://schemas.openxmlformats.org/officeDocument/2006/relationships/pivotCacheDefinition" Target="pivotCache/pivotCacheDefinition38.xml"/><Relationship Id="rId78" Type="http://schemas.openxmlformats.org/officeDocument/2006/relationships/pivotCacheDefinition" Target="pivotCache/pivotCacheDefinition37.xml"/><Relationship Id="rId71" Type="http://schemas.openxmlformats.org/officeDocument/2006/relationships/pivotCacheDefinition" Target="pivotCache/pivotCacheDefinition30.xml"/><Relationship Id="rId70" Type="http://schemas.openxmlformats.org/officeDocument/2006/relationships/pivotCacheDefinition" Target="pivotCache/pivotCacheDefinition29.xml"/><Relationship Id="rId139" Type="http://schemas.openxmlformats.org/officeDocument/2006/relationships/pivotCacheDefinition" Target="pivotCache/pivotCacheDefinition98.xml"/><Relationship Id="rId138" Type="http://schemas.openxmlformats.org/officeDocument/2006/relationships/pivotCacheDefinition" Target="pivotCache/pivotCacheDefinition97.xml"/><Relationship Id="rId137" Type="http://schemas.openxmlformats.org/officeDocument/2006/relationships/pivotCacheDefinition" Target="pivotCache/pivotCacheDefinition96.xml"/><Relationship Id="rId132" Type="http://schemas.openxmlformats.org/officeDocument/2006/relationships/pivotCacheDefinition" Target="pivotCache/pivotCacheDefinition91.xml"/><Relationship Id="rId131" Type="http://schemas.openxmlformats.org/officeDocument/2006/relationships/pivotCacheDefinition" Target="pivotCache/pivotCacheDefinition90.xml"/><Relationship Id="rId130" Type="http://schemas.openxmlformats.org/officeDocument/2006/relationships/pivotCacheDefinition" Target="pivotCache/pivotCacheDefinition89.xml"/><Relationship Id="rId136" Type="http://schemas.openxmlformats.org/officeDocument/2006/relationships/pivotCacheDefinition" Target="pivotCache/pivotCacheDefinition95.xml"/><Relationship Id="rId135" Type="http://schemas.openxmlformats.org/officeDocument/2006/relationships/pivotCacheDefinition" Target="pivotCache/pivotCacheDefinition94.xml"/><Relationship Id="rId134" Type="http://schemas.openxmlformats.org/officeDocument/2006/relationships/pivotCacheDefinition" Target="pivotCache/pivotCacheDefinition93.xml"/><Relationship Id="rId133" Type="http://schemas.openxmlformats.org/officeDocument/2006/relationships/pivotCacheDefinition" Target="pivotCache/pivotCacheDefinition92.xml"/><Relationship Id="rId62" Type="http://schemas.openxmlformats.org/officeDocument/2006/relationships/pivotCacheDefinition" Target="pivotCache/pivotCacheDefinition21.xml"/><Relationship Id="rId61" Type="http://schemas.openxmlformats.org/officeDocument/2006/relationships/pivotCacheDefinition" Target="pivotCache/pivotCacheDefinition20.xml"/><Relationship Id="rId64" Type="http://schemas.openxmlformats.org/officeDocument/2006/relationships/pivotCacheDefinition" Target="pivotCache/pivotCacheDefinition23.xml"/><Relationship Id="rId63" Type="http://schemas.openxmlformats.org/officeDocument/2006/relationships/pivotCacheDefinition" Target="pivotCache/pivotCacheDefinition22.xml"/><Relationship Id="rId66" Type="http://schemas.openxmlformats.org/officeDocument/2006/relationships/pivotCacheDefinition" Target="pivotCache/pivotCacheDefinition25.xml"/><Relationship Id="rId65" Type="http://schemas.openxmlformats.org/officeDocument/2006/relationships/pivotCacheDefinition" Target="pivotCache/pivotCacheDefinition24.xml"/><Relationship Id="rId68" Type="http://schemas.openxmlformats.org/officeDocument/2006/relationships/pivotCacheDefinition" Target="pivotCache/pivotCacheDefinition27.xml"/><Relationship Id="rId67" Type="http://schemas.openxmlformats.org/officeDocument/2006/relationships/pivotCacheDefinition" Target="pivotCache/pivotCacheDefinition26.xml"/><Relationship Id="rId60" Type="http://schemas.openxmlformats.org/officeDocument/2006/relationships/pivotCacheDefinition" Target="pivotCache/pivotCacheDefinition19.xml"/><Relationship Id="rId69" Type="http://schemas.openxmlformats.org/officeDocument/2006/relationships/pivotCacheDefinition" Target="pivotCache/pivotCacheDefinition28.xml"/><Relationship Id="rId51" Type="http://schemas.openxmlformats.org/officeDocument/2006/relationships/pivotCacheDefinition" Target="pivotCache/pivotCacheDefinition10.xml"/><Relationship Id="rId50" Type="http://schemas.openxmlformats.org/officeDocument/2006/relationships/pivotCacheDefinition" Target="pivotCache/pivotCacheDefinition9.xml"/><Relationship Id="rId53" Type="http://schemas.openxmlformats.org/officeDocument/2006/relationships/pivotCacheDefinition" Target="pivotCache/pivotCacheDefinition12.xml"/><Relationship Id="rId52" Type="http://schemas.openxmlformats.org/officeDocument/2006/relationships/pivotCacheDefinition" Target="pivotCache/pivotCacheDefinition11.xml"/><Relationship Id="rId55" Type="http://schemas.openxmlformats.org/officeDocument/2006/relationships/pivotCacheDefinition" Target="pivotCache/pivotCacheDefinition14.xml"/><Relationship Id="rId54" Type="http://schemas.openxmlformats.org/officeDocument/2006/relationships/pivotCacheDefinition" Target="pivotCache/pivotCacheDefinition13.xml"/><Relationship Id="rId57" Type="http://schemas.openxmlformats.org/officeDocument/2006/relationships/pivotCacheDefinition" Target="pivotCache/pivotCacheDefinition16.xml"/><Relationship Id="rId56" Type="http://schemas.openxmlformats.org/officeDocument/2006/relationships/pivotCacheDefinition" Target="pivotCache/pivotCacheDefinition15.xml"/><Relationship Id="rId59" Type="http://schemas.openxmlformats.org/officeDocument/2006/relationships/pivotCacheDefinition" Target="pivotCache/pivotCacheDefinition18.xml"/><Relationship Id="rId58" Type="http://schemas.openxmlformats.org/officeDocument/2006/relationships/pivotCacheDefinition" Target="pivotCache/pivotCacheDefinition17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'jan26'!$A$188:$A$215</c:f>
            </c:strRef>
          </c:cat>
          <c:val>
            <c:numRef>
              <c:f>'jan26'!$B$188:$B$215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'nov25'!$A$141:$A$170</c:f>
            </c:strRef>
          </c:cat>
          <c:val>
            <c:numRef>
              <c:f>'nov25'!$B$141:$B$170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'ago25'!$A$141:$A$170</c:f>
            </c:strRef>
          </c:cat>
          <c:val>
            <c:numRef>
              <c:f>'ago25'!$B$141:$B$170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'set25'!$A$141:$A$170</c:f>
            </c:strRef>
          </c:cat>
          <c:val>
            <c:numRef>
              <c:f>'set25'!$B$141:$B$170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'out25'!$A$141:$A$170</c:f>
            </c:strRef>
          </c:cat>
          <c:val>
            <c:numRef>
              <c:f>'out25'!$B$141:$B$170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'jul25'!$A$141:$A$170</c:f>
            </c:strRef>
          </c:cat>
          <c:val>
            <c:numRef>
              <c:f>'jul25'!$B$141:$B$170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'jun25'!$A$144:$A$165</c:f>
            </c:strRef>
          </c:cat>
          <c:val>
            <c:numRef>
              <c:f>'jun25'!$B$144:$B$165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'mai25'!$A$145:$A$166</c:f>
            </c:strRef>
          </c:cat>
          <c:val>
            <c:numRef>
              <c:f>'mai25'!$B$145:$B$166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'abr25'!$A$133:$A$154</c:f>
            </c:strRef>
          </c:cat>
          <c:val>
            <c:numRef>
              <c:f>'abr25'!$B$133:$B$154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'jan25'!$A$127:$A$148</c:f>
            </c:strRef>
          </c:cat>
          <c:val>
            <c:numRef>
              <c:f>'jan25'!$B$127:$B$148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'fev25'!$A$132:$A$153</c:f>
            </c:strRef>
          </c:cat>
          <c:val>
            <c:numRef>
              <c:f>'fev25'!$B$132:$B$153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'mar25'!$A$128:$A$149</c:f>
            </c:strRef>
          </c:cat>
          <c:val>
            <c:numRef>
              <c:f>'mar25'!$B$128:$B$149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'set24'!$A$126:$A$147</c:f>
            </c:strRef>
          </c:cat>
          <c:val>
            <c:numRef>
              <c:f>'set24'!$B$126:$B$147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'jun24'!$A$126:$A$148</c:f>
            </c:strRef>
          </c:cat>
          <c:val>
            <c:numRef>
              <c:f>'jun24'!$B$126:$B$148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'jul24'!$A$126:$A$148</c:f>
            </c:strRef>
          </c:cat>
          <c:val>
            <c:numRef>
              <c:f>'jul24'!$B$126:$B$148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maio24!$A$126:$A$146</c:f>
            </c:strRef>
          </c:cat>
          <c:val>
            <c:numRef>
              <c:f>maio24!$B$126:$B$146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abril24!$A$126:$A$148</c:f>
            </c:strRef>
          </c:cat>
          <c:val>
            <c:numRef>
              <c:f>abril24!$B$126:$B$148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marco24!$A$126:$A$148</c:f>
            </c:strRef>
          </c:cat>
          <c:val>
            <c:numRef>
              <c:f>marco24!$B$126:$B$148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fevereiro24!$A$126:$A$149</c:f>
            </c:strRef>
          </c:cat>
          <c:val>
            <c:numRef>
              <c:f>fevereiro24!$B$126:$B$149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janneiro24!$A$126:$A$149</c:f>
            </c:strRef>
          </c:cat>
          <c:val>
            <c:numRef>
              <c:f>janneiro24!$B$126:$B$149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Dezembro23!$A$127:$A$150</c:f>
            </c:strRef>
          </c:cat>
          <c:val>
            <c:numRef>
              <c:f>Dezembro23!$B$127:$B$150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novembro23!$A$121:$A$143</c:f>
            </c:strRef>
          </c:cat>
          <c:val>
            <c:numRef>
              <c:f>novembro23!$B$121:$B$143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outubro23!$A$121:$A$144</c:f>
            </c:strRef>
          </c:cat>
          <c:val>
            <c:numRef>
              <c:f>outubro23!$B$121:$B$144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setembro23!$A$125:$A$147</c:f>
            </c:strRef>
          </c:cat>
          <c:val>
            <c:numRef>
              <c:f>setembro23!$B$125:$B$147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Agosto23!$A$127:$A$150</c:f>
            </c:strRef>
          </c:cat>
          <c:val>
            <c:numRef>
              <c:f>Agosto23!$B$127:$B$150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julho23!$A$139:$A$163</c:f>
            </c:strRef>
          </c:cat>
          <c:val>
            <c:numRef>
              <c:f>julho23!$B$139:$B$163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junho23!$A$127:$A$145</c:f>
            </c:strRef>
          </c:cat>
          <c:val>
            <c:numRef>
              <c:f>junho23!$B$127:$B$145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maio23!$A$95:$A$113</c:f>
            </c:strRef>
          </c:cat>
          <c:val>
            <c:numRef>
              <c:f>maio23!$B$95:$B$113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abril23!$A$82:$A$102</c:f>
            </c:strRef>
          </c:cat>
          <c:val>
            <c:numRef>
              <c:f>abril23!$B$82:$B$102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marco23!$A$97:$A$120</c:f>
            </c:strRef>
          </c:cat>
          <c:val>
            <c:numRef>
              <c:f>marco23!$B$97:$B$120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fevereiro23!$A$82:$A$102</c:f>
            </c:strRef>
          </c:cat>
          <c:val>
            <c:numRef>
              <c:f>fevereiro23!$B$82:$B$102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Janeiro23!$A$52:$A$68</c:f>
            </c:strRef>
          </c:cat>
          <c:val>
            <c:numRef>
              <c:f>Janeiro23!$B$52:$B$68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setembro22!$A$97:$A$126</c:f>
            </c:strRef>
          </c:cat>
          <c:val>
            <c:numRef>
              <c:f>setembro22!$B$97:$B$126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188</xdr:row>
      <xdr:rowOff>190500</xdr:rowOff>
    </xdr:from>
    <xdr:ext cx="9077325" cy="56197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141</xdr:row>
      <xdr:rowOff>190500</xdr:rowOff>
    </xdr:from>
    <xdr:ext cx="9077325" cy="56197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141</xdr:row>
      <xdr:rowOff>190500</xdr:rowOff>
    </xdr:from>
    <xdr:ext cx="9077325" cy="56197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141</xdr:row>
      <xdr:rowOff>190500</xdr:rowOff>
    </xdr:from>
    <xdr:ext cx="9077325" cy="56197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141</xdr:row>
      <xdr:rowOff>190500</xdr:rowOff>
    </xdr:from>
    <xdr:ext cx="9077325" cy="56197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141</xdr:row>
      <xdr:rowOff>190500</xdr:rowOff>
    </xdr:from>
    <xdr:ext cx="9077325" cy="56197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141</xdr:row>
      <xdr:rowOff>190500</xdr:rowOff>
    </xdr:from>
    <xdr:ext cx="9077325" cy="56197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142</xdr:row>
      <xdr:rowOff>190500</xdr:rowOff>
    </xdr:from>
    <xdr:ext cx="9077325" cy="56197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130</xdr:row>
      <xdr:rowOff>190500</xdr:rowOff>
    </xdr:from>
    <xdr:ext cx="9077325" cy="561975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124</xdr:row>
      <xdr:rowOff>190500</xdr:rowOff>
    </xdr:from>
    <xdr:ext cx="9077325" cy="561975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129</xdr:row>
      <xdr:rowOff>190500</xdr:rowOff>
    </xdr:from>
    <xdr:ext cx="9077325" cy="56197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125</xdr:row>
      <xdr:rowOff>190500</xdr:rowOff>
    </xdr:from>
    <xdr:ext cx="9077325" cy="561975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123</xdr:row>
      <xdr:rowOff>190500</xdr:rowOff>
    </xdr:from>
    <xdr:ext cx="9077325" cy="561975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123</xdr:row>
      <xdr:rowOff>190500</xdr:rowOff>
    </xdr:from>
    <xdr:ext cx="9077325" cy="561975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123</xdr:row>
      <xdr:rowOff>190500</xdr:rowOff>
    </xdr:from>
    <xdr:ext cx="9077325" cy="561975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123</xdr:row>
      <xdr:rowOff>190500</xdr:rowOff>
    </xdr:from>
    <xdr:ext cx="9077325" cy="56197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123</xdr:row>
      <xdr:rowOff>190500</xdr:rowOff>
    </xdr:from>
    <xdr:ext cx="9077325" cy="561975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123</xdr:row>
      <xdr:rowOff>190500</xdr:rowOff>
    </xdr:from>
    <xdr:ext cx="9077325" cy="56197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123</xdr:row>
      <xdr:rowOff>190500</xdr:rowOff>
    </xdr:from>
    <xdr:ext cx="9077325" cy="561975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123</xdr:row>
      <xdr:rowOff>190500</xdr:rowOff>
    </xdr:from>
    <xdr:ext cx="9077325" cy="5619750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124</xdr:row>
      <xdr:rowOff>190500</xdr:rowOff>
    </xdr:from>
    <xdr:ext cx="9077325" cy="5619750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118</xdr:row>
      <xdr:rowOff>190500</xdr:rowOff>
    </xdr:from>
    <xdr:ext cx="9077325" cy="5619750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118</xdr:row>
      <xdr:rowOff>190500</xdr:rowOff>
    </xdr:from>
    <xdr:ext cx="9077325" cy="5619750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352425</xdr:colOff>
      <xdr:row>123</xdr:row>
      <xdr:rowOff>0</xdr:rowOff>
    </xdr:from>
    <xdr:ext cx="9077325" cy="5619750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124</xdr:row>
      <xdr:rowOff>190500</xdr:rowOff>
    </xdr:from>
    <xdr:ext cx="9077325" cy="5619750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136</xdr:row>
      <xdr:rowOff>190500</xdr:rowOff>
    </xdr:from>
    <xdr:ext cx="9077325" cy="5619750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124</xdr:row>
      <xdr:rowOff>190500</xdr:rowOff>
    </xdr:from>
    <xdr:ext cx="9077325" cy="5619750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92</xdr:row>
      <xdr:rowOff>190500</xdr:rowOff>
    </xdr:from>
    <xdr:ext cx="8724900" cy="5400675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79</xdr:row>
      <xdr:rowOff>190500</xdr:rowOff>
    </xdr:from>
    <xdr:ext cx="5715000" cy="3533775"/>
    <xdr:graphicFrame>
      <xdr:nvGraphicFramePr>
        <xdr:cNvPr id="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94</xdr:row>
      <xdr:rowOff>190500</xdr:rowOff>
    </xdr:from>
    <xdr:ext cx="5715000" cy="3533775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79</xdr:row>
      <xdr:rowOff>190500</xdr:rowOff>
    </xdr:from>
    <xdr:ext cx="5715000" cy="3533775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49</xdr:row>
      <xdr:rowOff>190500</xdr:rowOff>
    </xdr:from>
    <xdr:ext cx="5715000" cy="3533775"/>
    <xdr:graphicFrame>
      <xdr:nvGraphicFramePr>
        <xdr:cNvPr id="32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94</xdr:row>
      <xdr:rowOff>190500</xdr:rowOff>
    </xdr:from>
    <xdr:ext cx="5715000" cy="3533775"/>
    <xdr:graphicFrame>
      <xdr:nvGraphicFramePr>
        <xdr:cNvPr id="33" name="Chart 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65" sheet="jan26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Painel solar 11/12"/>
        <s v="futebol domingo"/>
        <s v="Atacadao"/>
        <s v="Mercado Ideal"/>
        <s v="Indigo"/>
        <s v="Auto posto TOP"/>
        <s v="Delirio Tropical"/>
        <s v="Burguer king"/>
        <s v="Estacionamento"/>
        <s v="O boticario"/>
        <s v="Chavao"/>
        <s v="Padaria"/>
        <s v="283 sao goncalo"/>
        <s v="Mundo da Refrigeracao"/>
        <s v="Lojas Nalin"/>
        <s v="Pagamento"/>
        <s v="Hortifruit dayse"/>
        <s v="Nova fruit"/>
        <s v="Breyas Especiais lan"/>
        <s v="Pes e patas"/>
        <s v="Amigao"/>
        <s v="to aki estacionamento"/>
        <s v="Silva modas"/>
        <s v="ki chopp"/>
        <s v="Cruzverde"/>
        <s v="Bmb Material de Construcao"/>
        <s v="Assai"/>
        <s v="cairofirminoda"/>
        <s v="Jusimerefernandes"/>
        <s v="Katarynemotta"/>
        <s v="cosechas"/>
        <s v="Danielsantos"/>
        <s v="hortifruit nova safra"/>
        <s v="Guarema"/>
        <s v="capava"/>
        <s v="Supermercado vila das"/>
        <s v="sao jose"/>
        <s v="Concessionaria Spmar"/>
        <s v="Caneco 90 P."/>
        <s v="Concessionaria do Sist"/>
        <s v="Drograrias JM ltda"/>
        <s v="spvias"/>
        <s v="Via colinas"/>
        <s v="Osasco"/>
        <s v="Itapevi"/>
        <s v="Epr Litoral Pioneiro S"/>
        <s v="Rodovias Integradas Do"/>
        <s v="Posto de servic oPopul"/>
        <s v="Posto de Servico Popul"/>
        <s v="Cobasi"/>
        <s v="Navarro e Baron ltda"/>
        <s v="Fevereirold"/>
        <s v="Hotel London"/>
        <s v="Epr Iguacu"/>
        <s v="Max jk"/>
        <s v="Epr Iguacu Sa"/>
        <s v="Posto Itaipi"/>
        <s v="Urbia Cataratas"/>
        <s v="Foz Tropicana parque"/>
        <s v="Parque das aves"/>
        <s v="TOrra toraa"/>
        <s v="Posto Triangulo"/>
        <s v="Amp Sabores do Oriente"/>
        <s v="Posto Cezar"/>
        <s v="Italo Supermercados"/>
        <s v="Mp Restaurante"/>
        <s v="Concessionaria Rota so"/>
        <s v="Concessionara  do "/>
        <s v="Kioque do alemao"/>
        <s v="Viuva"/>
        <s v="magalupay"/>
        <s v="Recarga Pre pago"/>
        <s v="Sacolao barateiro"/>
        <s v="Spotify"/>
        <s v="Aibr Instituicao"/>
        <s v="SOnia de Aguiar"/>
        <s v="Compras China"/>
        <s v="Keeta"/>
        <s v="99food"/>
        <s v="UltraFarma"/>
        <s v="Novanex"/>
        <s v="Resort Animal"/>
        <s v="Sandra Regina"/>
        <s v="Luz Marina case de Vi"/>
        <s v="Waleid Abdel"/>
        <s v="Erik"/>
        <s v="RendimentoPay"/>
        <s v="gdo Participacoes"/>
        <s v="ecoponte"/>
        <s v="Posto Pinda"/>
        <s v="cart"/>
        <s v="ifood"/>
        <s v="estarfi"/>
        <s v="lg*sancorsegur"/>
        <s v="wasabi"/>
        <s v="petz"/>
        <s v="Airbnb"/>
        <s v="ze delivery"/>
      </sharedItems>
    </cacheField>
    <cacheField name="dia" numFmtId="0">
      <sharedItems containsString="0" containsBlank="1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3.0"/>
        <n v="4.0"/>
        <n v="7.0"/>
        <n v="13.0"/>
        <n v="18.0"/>
        <n v="19.0"/>
        <n v="20.0"/>
        <n v="22.0"/>
        <n v="23.0"/>
        <n v="24.0"/>
        <n v="26.0"/>
        <n v="12.0"/>
        <n v="21.0"/>
        <m/>
      </sharedItems>
    </cacheField>
    <cacheField name="valor" numFmtId="166">
      <sharedItems containsString="0" containsBlank="1" containsNumber="1">
        <n v="0.0"/>
        <n v="901.84"/>
        <n v="145.27"/>
        <n v="129.96"/>
        <n v="106.9"/>
        <n v="19.95"/>
        <n v="19.9"/>
        <n v="44.9"/>
        <n v="309.73"/>
        <n v="229.8"/>
        <n v="20.0"/>
        <n v="500.0"/>
        <m/>
        <n v="777.56"/>
        <n v="60.0"/>
        <n v="138.74"/>
        <n v="24.0"/>
        <n v="23.0"/>
        <n v="47.38"/>
        <n v="56.0"/>
        <n v="7.0"/>
        <n v="105.8"/>
        <n v="32.0"/>
        <n v="4.0"/>
        <n v="39.99"/>
        <n v="24.9"/>
        <n v="79.98"/>
        <n v="310.0"/>
        <n v="9.0"/>
        <n v="16.62"/>
        <n v="56.87"/>
        <n v="77.8"/>
        <n v="77.88"/>
        <n v="29.99"/>
        <n v="175.22"/>
        <n v="32.99"/>
        <n v="343.76"/>
        <n v="119.32"/>
        <n v="59.01"/>
        <n v="100.0"/>
        <n v="1050.0"/>
        <n v="12.0"/>
        <n v="217.88"/>
        <n v="30.35"/>
        <n v="36.0"/>
        <n v="37.0"/>
        <n v="8.0"/>
        <n v="9.04"/>
        <n v="175.13"/>
        <n v="5.4"/>
        <n v="5.5"/>
        <n v="25.47"/>
        <n v="4.1"/>
        <n v="150.0"/>
        <n v="16.9"/>
        <n v="15.5"/>
        <n v="72.46"/>
        <n v="19.4"/>
        <n v="13.8"/>
        <n v="9.4"/>
        <n v="12.8"/>
        <n v="13.2"/>
        <n v="70.0"/>
        <n v="41.28"/>
        <n v="44.45"/>
        <n v="350.0"/>
        <n v="73.0"/>
        <n v="237.58"/>
        <n v="161.0"/>
        <n v="15.2"/>
        <n v="108.7"/>
        <n v="221.68"/>
        <n v="17.4"/>
        <n v="404.1"/>
        <n v="472.0"/>
        <n v="25.0"/>
        <n v="242.0"/>
        <n v="330.0"/>
        <n v="89.97"/>
        <n v="50.0"/>
        <n v="672.7"/>
        <n v="208.1"/>
        <n v="13.48"/>
        <n v="131.0"/>
        <n v="151.0"/>
        <n v="335.68"/>
        <n v="140.88"/>
        <n v="164.62"/>
        <n v="12.05"/>
        <n v="12.6"/>
        <n v="4.5"/>
        <n v="8.1"/>
        <n v="14.5"/>
        <n v="17.9"/>
        <n v="16.4"/>
        <n v="189.89"/>
        <n v="6.0"/>
        <n v="7.18"/>
        <n v="40.9"/>
        <n v="83.98"/>
        <n v="30.0"/>
        <n v="627.0"/>
        <n v="41.26"/>
        <n v="62.48"/>
        <n v="67.05"/>
        <n v="3208.2"/>
        <n v="40.0"/>
        <n v="80.0"/>
        <n v="153.0"/>
        <n v="19.84"/>
        <n v="42.54"/>
        <n v="6.2"/>
        <n v="45.41"/>
        <n v="9.9"/>
        <n v="94.65"/>
        <n v="1.5"/>
        <n v="92.65"/>
        <n v="46.0"/>
        <n v="85.65"/>
        <n v="72.99"/>
        <n v="41.81"/>
        <n v="820.09"/>
        <n v="1475.8400000000001"/>
        <n v="17.27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 containsBlank="1">
        <s v="boleto"/>
        <s v="Bradesco cartoes"/>
        <s v="debito automatico"/>
        <s v="nubank card"/>
        <s v="Pix"/>
        <m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65" sheet="jan26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Painel solar 11/12"/>
        <s v="futebol domingo"/>
        <s v="Atacadao"/>
        <s v="Mercado Ideal"/>
        <s v="Indigo"/>
        <s v="Auto posto TOP"/>
        <s v="Delirio Tropical"/>
        <s v="Burguer king"/>
        <s v="Estacionamento"/>
        <s v="O boticario"/>
        <s v="Chavao"/>
        <s v="Padaria"/>
        <s v="283 sao goncalo"/>
        <s v="Mundo da Refrigeracao"/>
        <s v="Lojas Nalin"/>
        <s v="Pagamento"/>
        <s v="Hortifruit dayse"/>
        <s v="Nova fruit"/>
        <s v="Breyas Especiais lan"/>
        <s v="Pes e patas"/>
        <s v="Amigao"/>
        <s v="to aki estacionamento"/>
        <s v="Silva modas"/>
        <s v="ki chopp"/>
        <s v="Cruzverde"/>
        <s v="Bmb Material de Construcao"/>
        <s v="Assai"/>
        <s v="cairofirminoda"/>
        <s v="Jusimerefernandes"/>
        <s v="Katarynemotta"/>
        <s v="cosechas"/>
        <s v="Danielsantos"/>
        <s v="hortifruit nova safra"/>
        <s v="Guarema"/>
        <s v="capava"/>
        <s v="Supermercado vila das"/>
        <s v="sao jose"/>
        <s v="Concessionaria Spmar"/>
        <s v="Caneco 90 P."/>
        <s v="Concessionaria do Sist"/>
        <s v="Drograrias JM ltda"/>
        <s v="spvias"/>
        <s v="Via colinas"/>
        <s v="Osasco"/>
        <s v="Itapevi"/>
        <s v="Epr Litoral Pioneiro S"/>
        <s v="Rodovias Integradas Do"/>
        <s v="Posto de servic oPopul"/>
        <s v="Posto de Servico Popul"/>
        <s v="Cobasi"/>
        <s v="Navarro e Baron ltda"/>
        <s v="Fevereirold"/>
        <s v="Hotel London"/>
        <s v="Epr Iguacu"/>
        <s v="Max jk"/>
        <s v="Epr Iguacu Sa"/>
        <s v="Posto Itaipi"/>
        <s v="Urbia Cataratas"/>
        <s v="Foz Tropicana parque"/>
        <s v="Parque das aves"/>
        <s v="TOrra toraa"/>
        <s v="Posto Triangulo"/>
        <s v="Amp Sabores do Oriente"/>
        <s v="Posto Cezar"/>
        <s v="Italo Supermercados"/>
        <s v="Mp Restaurante"/>
        <s v="Concessionaria Rota so"/>
        <s v="Concessionara  do "/>
        <s v="Kioque do alemao"/>
        <s v="Viuva"/>
        <s v="magalupay"/>
        <s v="Recarga Pre pago"/>
        <s v="Sacolao barateiro"/>
        <s v="Spotify"/>
        <s v="Aibr Instituicao"/>
        <s v="SOnia de Aguiar"/>
        <s v="Compras China"/>
        <s v="Keeta"/>
        <s v="99food"/>
        <s v="UltraFarma"/>
        <s v="Novanex"/>
        <s v="Resort Animal"/>
        <s v="Sandra Regina"/>
        <s v="Luz Marina case de Vi"/>
        <s v="Waleid Abdel"/>
        <s v="Erik"/>
        <s v="RendimentoPay"/>
        <s v="gdo Participacoes"/>
        <s v="ecoponte"/>
        <s v="Posto Pinda"/>
        <s v="cart"/>
        <s v="ifood"/>
        <s v="estarfi"/>
        <s v="lg*sancorsegur"/>
        <s v="wasabi"/>
        <s v="petz"/>
        <s v="Airbnb"/>
        <s v="ze delivery"/>
      </sharedItems>
    </cacheField>
    <cacheField name="dia" numFmtId="0">
      <sharedItems containsString="0" containsBlank="1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3.0"/>
        <n v="4.0"/>
        <n v="7.0"/>
        <n v="13.0"/>
        <n v="18.0"/>
        <n v="19.0"/>
        <n v="20.0"/>
        <n v="22.0"/>
        <n v="23.0"/>
        <n v="24.0"/>
        <n v="26.0"/>
        <n v="12.0"/>
        <n v="21.0"/>
        <m/>
      </sharedItems>
    </cacheField>
    <cacheField name="valor" numFmtId="166">
      <sharedItems containsString="0" containsBlank="1" containsNumber="1">
        <n v="0.0"/>
        <n v="901.84"/>
        <n v="145.27"/>
        <n v="129.96"/>
        <n v="106.9"/>
        <n v="19.95"/>
        <n v="19.9"/>
        <n v="44.9"/>
        <n v="309.73"/>
        <n v="229.8"/>
        <n v="20.0"/>
        <n v="500.0"/>
        <m/>
        <n v="777.56"/>
        <n v="60.0"/>
        <n v="138.74"/>
        <n v="24.0"/>
        <n v="23.0"/>
        <n v="47.38"/>
        <n v="56.0"/>
        <n v="7.0"/>
        <n v="105.8"/>
        <n v="32.0"/>
        <n v="4.0"/>
        <n v="39.99"/>
        <n v="24.9"/>
        <n v="79.98"/>
        <n v="310.0"/>
        <n v="9.0"/>
        <n v="16.62"/>
        <n v="56.87"/>
        <n v="77.8"/>
        <n v="77.88"/>
        <n v="29.99"/>
        <n v="175.22"/>
        <n v="32.99"/>
        <n v="343.76"/>
        <n v="119.32"/>
        <n v="59.01"/>
        <n v="100.0"/>
        <n v="1050.0"/>
        <n v="12.0"/>
        <n v="217.88"/>
        <n v="30.35"/>
        <n v="36.0"/>
        <n v="37.0"/>
        <n v="8.0"/>
        <n v="9.04"/>
        <n v="175.13"/>
        <n v="5.4"/>
        <n v="5.5"/>
        <n v="25.47"/>
        <n v="4.1"/>
        <n v="150.0"/>
        <n v="16.9"/>
        <n v="15.5"/>
        <n v="72.46"/>
        <n v="19.4"/>
        <n v="13.8"/>
        <n v="9.4"/>
        <n v="12.8"/>
        <n v="13.2"/>
        <n v="70.0"/>
        <n v="41.28"/>
        <n v="44.45"/>
        <n v="350.0"/>
        <n v="73.0"/>
        <n v="237.58"/>
        <n v="161.0"/>
        <n v="15.2"/>
        <n v="108.7"/>
        <n v="221.68"/>
        <n v="17.4"/>
        <n v="404.1"/>
        <n v="472.0"/>
        <n v="25.0"/>
        <n v="242.0"/>
        <n v="330.0"/>
        <n v="89.97"/>
        <n v="50.0"/>
        <n v="672.7"/>
        <n v="208.1"/>
        <n v="13.48"/>
        <n v="131.0"/>
        <n v="151.0"/>
        <n v="335.68"/>
        <n v="140.88"/>
        <n v="164.62"/>
        <n v="12.05"/>
        <n v="12.6"/>
        <n v="4.5"/>
        <n v="8.1"/>
        <n v="14.5"/>
        <n v="17.9"/>
        <n v="16.4"/>
        <n v="189.89"/>
        <n v="6.0"/>
        <n v="7.18"/>
        <n v="40.9"/>
        <n v="83.98"/>
        <n v="30.0"/>
        <n v="627.0"/>
        <n v="41.26"/>
        <n v="62.48"/>
        <n v="67.05"/>
        <n v="3208.2"/>
        <n v="40.0"/>
        <n v="80.0"/>
        <n v="153.0"/>
        <n v="19.84"/>
        <n v="42.54"/>
        <n v="6.2"/>
        <n v="45.41"/>
        <n v="9.9"/>
        <n v="94.65"/>
        <n v="1.5"/>
        <n v="92.65"/>
        <n v="46.0"/>
        <n v="85.65"/>
        <n v="72.99"/>
        <n v="41.81"/>
        <n v="820.09"/>
        <n v="1475.8400000000001"/>
        <n v="17.27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 containsBlank="1">
        <s v="boleto"/>
        <s v="Bradesco cartoes"/>
        <s v="debito automatico"/>
        <s v="nubank card"/>
        <s v="Pix"/>
        <m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65" sheet="jan26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Painel solar 11/12"/>
        <s v="futebol domingo"/>
        <s v="Atacadao"/>
        <s v="Mercado Ideal"/>
        <s v="Indigo"/>
        <s v="Auto posto TOP"/>
        <s v="Delirio Tropical"/>
        <s v="Burguer king"/>
        <s v="Estacionamento"/>
        <s v="O boticario"/>
        <s v="Chavao"/>
        <s v="Padaria"/>
        <s v="283 sao goncalo"/>
        <s v="Mundo da Refrigeracao"/>
        <s v="Lojas Nalin"/>
        <s v="Pagamento"/>
        <s v="Hortifruit dayse"/>
        <s v="Nova fruit"/>
        <s v="Breyas Especiais lan"/>
        <s v="Pes e patas"/>
        <s v="Amigao"/>
        <s v="to aki estacionamento"/>
        <s v="Silva modas"/>
        <s v="ki chopp"/>
        <s v="Cruzverde"/>
        <s v="Bmb Material de Construcao"/>
        <s v="Assai"/>
        <s v="cairofirminoda"/>
        <s v="Jusimerefernandes"/>
        <s v="Katarynemotta"/>
        <s v="cosechas"/>
        <s v="Danielsantos"/>
        <s v="hortifruit nova safra"/>
        <s v="Guarema"/>
        <s v="capava"/>
        <s v="Supermercado vila das"/>
        <s v="sao jose"/>
        <s v="Concessionaria Spmar"/>
        <s v="Caneco 90 P."/>
        <s v="Concessionaria do Sist"/>
        <s v="Drograrias JM ltda"/>
        <s v="spvias"/>
        <s v="Via colinas"/>
        <s v="Osasco"/>
        <s v="Itapevi"/>
        <s v="Epr Litoral Pioneiro S"/>
        <s v="Rodovias Integradas Do"/>
        <s v="Posto de servic oPopul"/>
        <s v="Posto de Servico Popul"/>
        <s v="Cobasi"/>
        <s v="Navarro e Baron ltda"/>
        <s v="Fevereirold"/>
        <s v="Hotel London"/>
        <s v="Epr Iguacu"/>
        <s v="Max jk"/>
        <s v="Epr Iguacu Sa"/>
        <s v="Posto Itaipi"/>
        <s v="Urbia Cataratas"/>
        <s v="Foz Tropicana parque"/>
        <s v="Parque das aves"/>
        <s v="TOrra toraa"/>
        <s v="Posto Triangulo"/>
        <s v="Amp Sabores do Oriente"/>
        <s v="Posto Cezar"/>
        <s v="Italo Supermercados"/>
        <s v="Mp Restaurante"/>
        <s v="Concessionaria Rota so"/>
        <s v="Concessionara  do "/>
        <s v="Kioque do alemao"/>
        <s v="Viuva"/>
        <s v="magalupay"/>
        <s v="Recarga Pre pago"/>
        <s v="Sacolao barateiro"/>
        <s v="Spotify"/>
        <s v="Aibr Instituicao"/>
        <s v="SOnia de Aguiar"/>
        <s v="Compras China"/>
        <s v="Keeta"/>
        <s v="99food"/>
        <s v="UltraFarma"/>
        <s v="Novanex"/>
        <s v="Resort Animal"/>
        <s v="Sandra Regina"/>
        <s v="Luz Marina case de Vi"/>
        <s v="Waleid Abdel"/>
        <s v="Erik"/>
        <s v="RendimentoPay"/>
        <s v="gdo Participacoes"/>
        <s v="ecoponte"/>
        <s v="Posto Pinda"/>
        <s v="cart"/>
        <s v="ifood"/>
        <s v="estarfi"/>
        <s v="lg*sancorsegur"/>
        <s v="wasabi"/>
        <s v="petz"/>
        <s v="Airbnb"/>
        <s v="ze delivery"/>
      </sharedItems>
    </cacheField>
    <cacheField name="dia" numFmtId="0">
      <sharedItems containsString="0" containsBlank="1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3.0"/>
        <n v="4.0"/>
        <n v="7.0"/>
        <n v="13.0"/>
        <n v="18.0"/>
        <n v="19.0"/>
        <n v="20.0"/>
        <n v="22.0"/>
        <n v="23.0"/>
        <n v="24.0"/>
        <n v="26.0"/>
        <n v="12.0"/>
        <n v="21.0"/>
        <m/>
      </sharedItems>
    </cacheField>
    <cacheField name="valor" numFmtId="166">
      <sharedItems containsString="0" containsBlank="1" containsNumber="1">
        <n v="0.0"/>
        <n v="901.84"/>
        <n v="145.27"/>
        <n v="129.96"/>
        <n v="106.9"/>
        <n v="19.95"/>
        <n v="19.9"/>
        <n v="44.9"/>
        <n v="309.73"/>
        <n v="229.8"/>
        <n v="20.0"/>
        <n v="500.0"/>
        <m/>
        <n v="777.56"/>
        <n v="60.0"/>
        <n v="138.74"/>
        <n v="24.0"/>
        <n v="23.0"/>
        <n v="47.38"/>
        <n v="56.0"/>
        <n v="7.0"/>
        <n v="105.8"/>
        <n v="32.0"/>
        <n v="4.0"/>
        <n v="39.99"/>
        <n v="24.9"/>
        <n v="79.98"/>
        <n v="310.0"/>
        <n v="9.0"/>
        <n v="16.62"/>
        <n v="56.87"/>
        <n v="77.8"/>
        <n v="77.88"/>
        <n v="29.99"/>
        <n v="175.22"/>
        <n v="32.99"/>
        <n v="343.76"/>
        <n v="119.32"/>
        <n v="59.01"/>
        <n v="100.0"/>
        <n v="1050.0"/>
        <n v="12.0"/>
        <n v="217.88"/>
        <n v="30.35"/>
        <n v="36.0"/>
        <n v="37.0"/>
        <n v="8.0"/>
        <n v="9.04"/>
        <n v="175.13"/>
        <n v="5.4"/>
        <n v="5.5"/>
        <n v="25.47"/>
        <n v="4.1"/>
        <n v="150.0"/>
        <n v="16.9"/>
        <n v="15.5"/>
        <n v="72.46"/>
        <n v="19.4"/>
        <n v="13.8"/>
        <n v="9.4"/>
        <n v="12.8"/>
        <n v="13.2"/>
        <n v="70.0"/>
        <n v="41.28"/>
        <n v="44.45"/>
        <n v="350.0"/>
        <n v="73.0"/>
        <n v="237.58"/>
        <n v="161.0"/>
        <n v="15.2"/>
        <n v="108.7"/>
        <n v="221.68"/>
        <n v="17.4"/>
        <n v="404.1"/>
        <n v="472.0"/>
        <n v="25.0"/>
        <n v="242.0"/>
        <n v="330.0"/>
        <n v="89.97"/>
        <n v="50.0"/>
        <n v="672.7"/>
        <n v="208.1"/>
        <n v="13.48"/>
        <n v="131.0"/>
        <n v="151.0"/>
        <n v="335.68"/>
        <n v="140.88"/>
        <n v="164.62"/>
        <n v="12.05"/>
        <n v="12.6"/>
        <n v="4.5"/>
        <n v="8.1"/>
        <n v="14.5"/>
        <n v="17.9"/>
        <n v="16.4"/>
        <n v="189.89"/>
        <n v="6.0"/>
        <n v="7.18"/>
        <n v="40.9"/>
        <n v="83.98"/>
        <n v="30.0"/>
        <n v="627.0"/>
        <n v="41.26"/>
        <n v="62.48"/>
        <n v="67.05"/>
        <n v="3208.2"/>
        <n v="40.0"/>
        <n v="80.0"/>
        <n v="153.0"/>
        <n v="19.84"/>
        <n v="42.54"/>
        <n v="6.2"/>
        <n v="45.41"/>
        <n v="9.9"/>
        <n v="94.65"/>
        <n v="1.5"/>
        <n v="92.65"/>
        <n v="46.0"/>
        <n v="85.65"/>
        <n v="72.99"/>
        <n v="41.81"/>
        <n v="820.09"/>
        <n v="1475.8400000000001"/>
        <n v="17.27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 containsBlank="1">
        <s v="boleto"/>
        <s v="Bradesco cartoes"/>
        <s v="debito automatico"/>
        <s v="nubank card"/>
        <s v="Pix"/>
        <m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 containsBlank="1"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pix aline"/>
        <s v="reforma casa"/>
        <s v="painel solar"/>
        <s v="Lazer"/>
        <s v="combustivel"/>
        <s v="Feira"/>
        <s v="Cabeleireiro"/>
        <s v="Manutenção casa"/>
        <s v="Padaria"/>
        <s v="mercado"/>
        <s v="outros"/>
        <s v="farmacia"/>
        <s v="Pet"/>
        <s v="projetos"/>
        <s v="estacionamentos"/>
        <s v="manutencao veiculo"/>
        <s v="ferias"/>
        <s v="Vestuario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7" sheet="nov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Painel solar 9/12"/>
        <s v="futebol domingo"/>
        <s v="auto posto top"/>
        <s v="katarynedamota"/>
        <s v="perfumaria kennedy"/>
        <s v="mundodarefrigeracao"/>
        <s v="padaria"/>
        <s v="convem sao goncalo"/>
        <s v="atacadao"/>
        <s v="top arena"/>
        <s v="drogaria pacheco"/>
        <s v="cassel frutas"/>
        <s v="sacolao do barateiro"/>
        <s v="casas pedroq6"/>
        <s v="burguerking"/>
        <s v="boticario"/>
        <s v="petz"/>
        <s v="cairofirminoda-oleo"/>
        <s v="frankjose-trocadeoleo"/>
        <s v="shoppe"/>
        <s v="claro recarga"/>
        <s v="kleyton diego"/>
        <s v="aldecir-lavaajato"/>
        <s v="guanabara"/>
        <s v="tamoio"/>
        <s v="pes e patas"/>
        <s v="estacionamento"/>
        <s v="lovcafe"/>
        <s v="wallacedossantos"/>
        <s v="mercadoideal"/>
        <s v="supermarket"/>
        <s v="g pet shop"/>
        <s v="assai"/>
        <s v="puro gas"/>
        <s v="farmacia"/>
        <s v="carrefour"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1.0"/>
        <n v="3.0"/>
        <n v="7.0"/>
        <n v="20.0"/>
        <n v="12.0"/>
        <n v="13.0"/>
        <n v="18.0"/>
        <n v="23.0"/>
        <n v="19.0"/>
        <n v="24.0"/>
        <n v="26.0"/>
        <n v="9.0"/>
        <n v="21.0"/>
        <n v="29.0"/>
      </sharedItems>
    </cacheField>
    <cacheField name="valor" numFmtId="166">
      <sharedItems containsString="0" containsBlank="1" containsNumber="1">
        <n v="789.0"/>
        <n v="850.0"/>
        <n v="0.0"/>
        <n v="118.0"/>
        <n v="132.76"/>
        <n v="99.9"/>
        <n v="19.95"/>
        <n v="24.9"/>
        <n v="44.9"/>
        <n v="244.12"/>
        <n v="229.8"/>
        <n v="20.0"/>
        <n v="500.0"/>
        <m/>
        <n v="777.56"/>
        <n v="60.0"/>
        <n v="53.73"/>
        <n v="24.0"/>
        <n v="69.98"/>
        <n v="49.9"/>
        <n v="9.0"/>
        <n v="3.0"/>
        <n v="76.8"/>
        <n v="3.49"/>
        <n v="10.0"/>
        <n v="31.58"/>
        <n v="19.41"/>
        <n v="6.25"/>
        <n v="61.01"/>
        <n v="47.97"/>
        <n v="77.8"/>
        <n v="50.93"/>
        <n v="299.99"/>
        <n v="336.0"/>
        <n v="150.0"/>
        <n v="24.66"/>
        <n v="457.19"/>
        <n v="7.0"/>
        <n v="120.0"/>
        <n v="83.33"/>
        <n v="71.46"/>
        <n v="30.9"/>
        <n v="185.28"/>
        <n v="8.0"/>
        <n v="53.0"/>
        <n v="28.0"/>
        <n v="12.0"/>
        <n v="70.05"/>
        <n v="23.9"/>
        <n v="138.9"/>
        <n v="176.47"/>
        <n v="30.0"/>
        <n v="19.98"/>
        <n v="145.46"/>
        <n v="52.54"/>
        <n v="40.0"/>
        <n v="39.95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7" sheet="nov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Painel solar 9/12"/>
        <s v="futebol domingo"/>
        <s v="auto posto top"/>
        <s v="katarynedamota"/>
        <s v="perfumaria kennedy"/>
        <s v="mundodarefrigeracao"/>
        <s v="padaria"/>
        <s v="convem sao goncalo"/>
        <s v="atacadao"/>
        <s v="top arena"/>
        <s v="drogaria pacheco"/>
        <s v="cassel frutas"/>
        <s v="sacolao do barateiro"/>
        <s v="casas pedroq6"/>
        <s v="burguerking"/>
        <s v="boticario"/>
        <s v="petz"/>
        <s v="cairofirminoda-oleo"/>
        <s v="frankjose-trocadeoleo"/>
        <s v="shoppe"/>
        <s v="claro recarga"/>
        <s v="kleyton diego"/>
        <s v="aldecir-lavaajato"/>
        <s v="guanabara"/>
        <s v="tamoio"/>
        <s v="pes e patas"/>
        <s v="estacionamento"/>
        <s v="lovcafe"/>
        <s v="wallacedossantos"/>
        <s v="mercadoideal"/>
        <s v="supermarket"/>
        <s v="g pet shop"/>
        <s v="assai"/>
        <s v="puro gas"/>
        <s v="farmacia"/>
        <s v="carrefour"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1.0"/>
        <n v="3.0"/>
        <n v="7.0"/>
        <n v="20.0"/>
        <n v="12.0"/>
        <n v="13.0"/>
        <n v="18.0"/>
        <n v="23.0"/>
        <n v="19.0"/>
        <n v="24.0"/>
        <n v="26.0"/>
        <n v="9.0"/>
        <n v="21.0"/>
        <n v="29.0"/>
      </sharedItems>
    </cacheField>
    <cacheField name="valor" numFmtId="166">
      <sharedItems containsString="0" containsBlank="1" containsNumber="1">
        <n v="789.0"/>
        <n v="850.0"/>
        <n v="0.0"/>
        <n v="118.0"/>
        <n v="132.76"/>
        <n v="99.9"/>
        <n v="19.95"/>
        <n v="24.9"/>
        <n v="44.9"/>
        <n v="244.12"/>
        <n v="229.8"/>
        <n v="20.0"/>
        <n v="500.0"/>
        <m/>
        <n v="777.56"/>
        <n v="60.0"/>
        <n v="53.73"/>
        <n v="24.0"/>
        <n v="69.98"/>
        <n v="49.9"/>
        <n v="9.0"/>
        <n v="3.0"/>
        <n v="76.8"/>
        <n v="3.49"/>
        <n v="10.0"/>
        <n v="31.58"/>
        <n v="19.41"/>
        <n v="6.25"/>
        <n v="61.01"/>
        <n v="47.97"/>
        <n v="77.8"/>
        <n v="50.93"/>
        <n v="299.99"/>
        <n v="336.0"/>
        <n v="150.0"/>
        <n v="24.66"/>
        <n v="457.19"/>
        <n v="7.0"/>
        <n v="120.0"/>
        <n v="83.33"/>
        <n v="71.46"/>
        <n v="30.9"/>
        <n v="185.28"/>
        <n v="8.0"/>
        <n v="53.0"/>
        <n v="28.0"/>
        <n v="12.0"/>
        <n v="70.05"/>
        <n v="23.9"/>
        <n v="138.9"/>
        <n v="176.47"/>
        <n v="30.0"/>
        <n v="19.98"/>
        <n v="145.46"/>
        <n v="52.54"/>
        <n v="40.0"/>
        <n v="39.95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" sheet="nov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Painel solar 9/12"/>
        <s v="futebol domingo"/>
        <s v="auto posto top"/>
        <s v="katarynedamota"/>
        <s v="perfumaria kennedy"/>
        <s v="mundodarefrigeracao"/>
        <s v="padaria"/>
        <s v="convem sao goncalo"/>
        <s v="atacadao"/>
        <s v="top arena"/>
        <s v="drogaria pacheco"/>
        <s v="cassel frutas"/>
        <s v="sacolao do barateiro"/>
        <s v="casas pedroq6"/>
        <s v="burguerking"/>
        <s v="boticario"/>
        <s v="petz"/>
        <s v="cairofirminoda-oleo"/>
        <s v="frankjose-trocadeoleo"/>
        <s v="shoppe"/>
        <s v="claro recarga"/>
        <s v="kleyton diego"/>
        <s v="aldecir-lavaajato"/>
        <s v="guanabara"/>
        <s v="tamoio"/>
        <s v="pes e patas"/>
        <s v="estacionamento"/>
        <s v="lovcafe"/>
        <s v="wallacedossantos"/>
        <s v="mercadoideal"/>
        <s v="supermarket"/>
        <s v="g pet shop"/>
        <s v="assai"/>
        <s v="puro gas"/>
        <s v="farmacia"/>
        <s v="carrefour"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1.0"/>
        <n v="3.0"/>
        <n v="7.0"/>
        <n v="20.0"/>
        <n v="12.0"/>
        <n v="13.0"/>
        <n v="18.0"/>
        <n v="23.0"/>
        <n v="19.0"/>
        <n v="24.0"/>
        <n v="26.0"/>
        <n v="9.0"/>
        <n v="21.0"/>
        <n v="29.0"/>
      </sharedItems>
    </cacheField>
    <cacheField name="valor" numFmtId="166">
      <sharedItems containsString="0" containsBlank="1" containsNumber="1">
        <n v="789.0"/>
        <n v="850.0"/>
        <n v="0.0"/>
        <n v="118.0"/>
        <n v="132.76"/>
        <n v="99.9"/>
        <n v="19.95"/>
        <n v="24.9"/>
        <n v="44.9"/>
        <n v="244.12"/>
        <n v="229.8"/>
        <n v="20.0"/>
        <n v="500.0"/>
        <m/>
        <n v="777.56"/>
        <n v="60.0"/>
        <n v="53.73"/>
        <n v="24.0"/>
        <n v="69.98"/>
        <n v="49.9"/>
        <n v="9.0"/>
        <n v="3.0"/>
        <n v="76.8"/>
        <n v="3.49"/>
        <n v="10.0"/>
        <n v="31.58"/>
        <n v="19.41"/>
        <n v="6.25"/>
        <n v="61.01"/>
        <n v="47.97"/>
        <n v="77.8"/>
        <n v="50.93"/>
        <n v="299.99"/>
        <n v="336.0"/>
        <n v="150.0"/>
        <n v="24.66"/>
        <n v="457.19"/>
        <n v="7.0"/>
        <n v="120.0"/>
        <n v="83.33"/>
        <n v="71.46"/>
        <n v="30.9"/>
        <n v="185.28"/>
        <n v="8.0"/>
        <n v="53.0"/>
        <n v="28.0"/>
        <n v="12.0"/>
        <n v="70.05"/>
        <n v="23.9"/>
        <n v="138.9"/>
        <n v="176.47"/>
        <n v="30.0"/>
        <n v="19.98"/>
        <n v="145.46"/>
        <n v="52.54"/>
        <n v="40.0"/>
        <n v="39.95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pix aline"/>
        <s v="reforma casa"/>
        <s v="painel solar"/>
        <s v="Lazer"/>
        <s v="combustivel"/>
        <s v="Feira"/>
        <s v="Cabeleireiro"/>
        <s v="Manutenção casa"/>
        <s v="Padaria"/>
        <s v="mercado"/>
        <s v="outros"/>
        <s v="farmacia"/>
        <s v="Pet"/>
        <s v="manutencao veiculo"/>
        <s v="projetos"/>
        <s v="estacionamentos"/>
        <s v="material escolar"/>
        <s v="gift"/>
        <s v="Vestuario"/>
        <s v="manutencao veicular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7" sheet="ago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s v="Curso Ingles"/>
        <s v="carrefour Tv 7/8"/>
        <s v="Painel solar 6/12"/>
        <s v="futebol domingo"/>
        <s v="padaria"/>
        <s v="egaalimentos"/>
        <s v="gladiador pet shop"/>
        <s v="rodo gril"/>
        <s v="atacadao"/>
        <s v="novo rio agua"/>
        <s v="icaroduarte"/>
        <s v="drogaria"/>
        <s v="petz"/>
        <s v="hzie variedades"/>
        <s v="estacionamento"/>
        <s v="cacula"/>
        <s v="puro gas"/>
        <s v="drogaria tamoio"/>
        <s v="assai"/>
        <s v="garfo e faca"/>
        <s v="cantina alfredo backer"/>
        <s v="sacolao barateiro"/>
        <s v="katarynemotta"/>
        <s v="auto posto top"/>
        <s v="farmelhor"/>
        <s v="grupo genius brasil p"/>
        <s v="guanabara"/>
        <s v="ac cortes"/>
        <s v="outback"/>
        <s v="l t salles hortfruit"/>
        <s v="indigo"/>
        <s v="delirio tropical"/>
        <s v="leandro mayer"/>
        <s v="dayse10comercio"/>
        <s v="paraiso"/>
        <s v="oboticario"/>
        <s v="posto luna"/>
        <s v="casa pedro"/>
        <s v="boleriadavo"/>
        <s v="emallafrios"/>
        <s v="rafael custodio d"/>
        <s v="boleto"/>
        <s v="tapete higienico"/>
        <s v="mercado livre projeto"/>
        <s v="acumputura"/>
        <s v="centauro"/>
        <s v="burguer king"/>
        <s v="deposito racao"/>
        <s v="camisa treino"/>
        <s v="nova fruit"/>
        <s v="lgm distribuidora"/>
        <s v="drograria farmelhor"/>
        <s v="nitetran"/>
        <s v="doces ze garoto"/>
        <s v="matheus silva pires"/>
        <s v="cybernit"/>
        <s v="helcio siqueira"/>
        <s v="niteroirotativo"/>
        <s v="assesoria time de"/>
        <s v="shoppe"/>
        <s v="recarga pre"/>
        <s v="niadestacionamento"/>
        <s v="daniel"/>
        <s v="Diaval treinamentos"/>
        <s v="acai forte"/>
        <s v="nataliabrito"/>
        <s v="magalypay"/>
        <s v="novafruit"/>
        <s v="futebol sabado"/>
        <s v="renan silveira"/>
        <m/>
      </sharedItems>
    </cacheField>
    <cacheField name="dia" numFmtId="0">
      <sharedItems containsString="0" containsBlank="1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1.0"/>
        <n v="3.0"/>
        <n v="4.0"/>
        <n v="9.0"/>
        <n v="12.0"/>
        <n v="13.0"/>
        <n v="23.0"/>
        <n v="19.0"/>
        <n v="21.0"/>
        <n v="22.0"/>
        <n v="24.0"/>
        <n v="7.0"/>
        <n v="18.0"/>
        <n v="29.0"/>
        <n v="31.0"/>
        <m/>
      </sharedItems>
    </cacheField>
    <cacheField name="valor" numFmtId="166">
      <sharedItems containsSemiMixedTypes="0" containsString="0" containsNumber="1">
        <n v="789.0"/>
        <n v="850.0"/>
        <n v="0.0"/>
        <n v="118.0"/>
        <n v="132.76"/>
        <n v="99.9"/>
        <n v="19.95"/>
        <n v="24.9"/>
        <n v="44.9"/>
        <n v="244.12"/>
        <n v="229.8"/>
        <n v="20.0"/>
        <n v="500.0"/>
        <n v="380.0"/>
        <n v="328.55"/>
        <n v="777.56"/>
        <n v="60.0"/>
        <n v="4.0"/>
        <n v="16.0"/>
        <n v="405.0"/>
        <n v="99.1"/>
        <n v="295.94"/>
        <n v="28.0"/>
        <n v="8.0"/>
        <n v="9.5"/>
        <n v="920.05"/>
        <n v="29.99"/>
        <n v="5.0"/>
        <n v="15.04"/>
        <n v="64.7"/>
        <n v="10.4"/>
        <n v="32.3"/>
        <n v="139.55"/>
        <n v="98.58"/>
        <n v="105.0"/>
        <n v="28.22"/>
        <n v="12.0"/>
        <n v="56.24"/>
        <n v="29.59"/>
        <n v="89.5"/>
        <n v="269.21"/>
        <n v="26.07"/>
        <n v="437.02"/>
        <n v="44.8"/>
        <n v="32.0"/>
        <n v="45.0"/>
        <n v="50.0"/>
        <n v="47.0"/>
        <n v="29.44"/>
        <n v="267.9"/>
        <n v="152.99"/>
        <n v="79.81"/>
        <n v="45.9"/>
        <n v="7.0"/>
        <n v="23.1"/>
        <n v="7.56"/>
        <n v="2056.0"/>
        <n v="51.0"/>
        <n v="38.8"/>
        <n v="440.0"/>
        <n v="11.46"/>
        <n v="359.98"/>
        <n v="79.8"/>
        <n v="-750.0"/>
        <n v="55.0"/>
        <n v="18.0"/>
        <n v="15.25"/>
        <n v="11.0"/>
        <n v="77.8"/>
        <n v="9.0"/>
        <n v="439.42"/>
        <n v="14.0"/>
        <n v="50.49"/>
        <n v="67.07"/>
        <n v="280.0"/>
        <n v="10.93"/>
        <n v="209.99"/>
        <n v="34.0"/>
        <n v="104.31"/>
        <n v="80.96"/>
        <n v="30.0"/>
        <n v="17.0"/>
        <n v="380.12"/>
        <n v="3.99"/>
        <n v="43.14"/>
        <n v="11.17"/>
        <n v="7.41"/>
        <n v="15.0"/>
        <n v="68.0"/>
        <n v="837.62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7" sheet="ago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s v="Curso Ingles"/>
        <s v="carrefour Tv 7/8"/>
        <s v="Painel solar 6/12"/>
        <s v="futebol domingo"/>
        <s v="padaria"/>
        <s v="egaalimentos"/>
        <s v="gladiador pet shop"/>
        <s v="rodo gril"/>
        <s v="atacadao"/>
        <s v="novo rio agua"/>
        <s v="icaroduarte"/>
        <s v="drogaria"/>
        <s v="petz"/>
        <s v="hzie variedades"/>
        <s v="estacionamento"/>
        <s v="cacula"/>
        <s v="puro gas"/>
        <s v="drogaria tamoio"/>
        <s v="assai"/>
        <s v="garfo e faca"/>
        <s v="cantina alfredo backer"/>
        <s v="sacolao barateiro"/>
        <s v="katarynemotta"/>
        <s v="auto posto top"/>
        <s v="farmelhor"/>
        <s v="grupo genius brasil p"/>
        <s v="guanabara"/>
        <s v="ac cortes"/>
        <s v="outback"/>
        <s v="l t salles hortfruit"/>
        <s v="indigo"/>
        <s v="delirio tropical"/>
        <s v="leandro mayer"/>
        <s v="dayse10comercio"/>
        <s v="paraiso"/>
        <s v="oboticario"/>
        <s v="posto luna"/>
        <s v="casa pedro"/>
        <s v="boleriadavo"/>
        <s v="emallafrios"/>
        <s v="rafael custodio d"/>
        <s v="boleto"/>
        <s v="tapete higienico"/>
        <s v="mercado livre projeto"/>
        <s v="acumputura"/>
        <s v="centauro"/>
        <s v="burguer king"/>
        <s v="deposito racao"/>
        <s v="camisa treino"/>
        <s v="nova fruit"/>
        <s v="lgm distribuidora"/>
        <s v="drograria farmelhor"/>
        <s v="nitetran"/>
        <s v="doces ze garoto"/>
        <s v="matheus silva pires"/>
        <s v="cybernit"/>
        <s v="helcio siqueira"/>
        <s v="niteroirotativo"/>
        <s v="assesoria time de"/>
        <s v="shoppe"/>
        <s v="recarga pre"/>
        <s v="niadestacionamento"/>
        <s v="daniel"/>
        <s v="Diaval treinamentos"/>
        <s v="acai forte"/>
        <s v="nataliabrito"/>
        <s v="magalypay"/>
        <s v="novafruit"/>
        <s v="futebol sabado"/>
        <s v="renan silveira"/>
        <m/>
      </sharedItems>
    </cacheField>
    <cacheField name="dia" numFmtId="0">
      <sharedItems containsString="0" containsBlank="1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1.0"/>
        <n v="3.0"/>
        <n v="4.0"/>
        <n v="9.0"/>
        <n v="12.0"/>
        <n v="13.0"/>
        <n v="23.0"/>
        <n v="19.0"/>
        <n v="21.0"/>
        <n v="22.0"/>
        <n v="24.0"/>
        <n v="7.0"/>
        <n v="18.0"/>
        <n v="29.0"/>
        <n v="31.0"/>
        <m/>
      </sharedItems>
    </cacheField>
    <cacheField name="valor" numFmtId="166">
      <sharedItems containsSemiMixedTypes="0" containsString="0" containsNumber="1">
        <n v="789.0"/>
        <n v="850.0"/>
        <n v="0.0"/>
        <n v="118.0"/>
        <n v="132.76"/>
        <n v="99.9"/>
        <n v="19.95"/>
        <n v="24.9"/>
        <n v="44.9"/>
        <n v="244.12"/>
        <n v="229.8"/>
        <n v="20.0"/>
        <n v="500.0"/>
        <n v="380.0"/>
        <n v="328.55"/>
        <n v="777.56"/>
        <n v="60.0"/>
        <n v="4.0"/>
        <n v="16.0"/>
        <n v="405.0"/>
        <n v="99.1"/>
        <n v="295.94"/>
        <n v="28.0"/>
        <n v="8.0"/>
        <n v="9.5"/>
        <n v="920.05"/>
        <n v="29.99"/>
        <n v="5.0"/>
        <n v="15.04"/>
        <n v="64.7"/>
        <n v="10.4"/>
        <n v="32.3"/>
        <n v="139.55"/>
        <n v="98.58"/>
        <n v="105.0"/>
        <n v="28.22"/>
        <n v="12.0"/>
        <n v="56.24"/>
        <n v="29.59"/>
        <n v="89.5"/>
        <n v="269.21"/>
        <n v="26.07"/>
        <n v="437.02"/>
        <n v="44.8"/>
        <n v="32.0"/>
        <n v="45.0"/>
        <n v="50.0"/>
        <n v="47.0"/>
        <n v="29.44"/>
        <n v="267.9"/>
        <n v="152.99"/>
        <n v="79.81"/>
        <n v="45.9"/>
        <n v="7.0"/>
        <n v="23.1"/>
        <n v="7.56"/>
        <n v="2056.0"/>
        <n v="51.0"/>
        <n v="38.8"/>
        <n v="440.0"/>
        <n v="11.46"/>
        <n v="359.98"/>
        <n v="79.8"/>
        <n v="-750.0"/>
        <n v="55.0"/>
        <n v="18.0"/>
        <n v="15.25"/>
        <n v="11.0"/>
        <n v="77.8"/>
        <n v="9.0"/>
        <n v="439.42"/>
        <n v="14.0"/>
        <n v="50.49"/>
        <n v="67.07"/>
        <n v="280.0"/>
        <n v="10.93"/>
        <n v="209.99"/>
        <n v="34.0"/>
        <n v="104.31"/>
        <n v="80.96"/>
        <n v="30.0"/>
        <n v="17.0"/>
        <n v="380.12"/>
        <n v="3.99"/>
        <n v="43.14"/>
        <n v="11.17"/>
        <n v="7.41"/>
        <n v="15.0"/>
        <n v="68.0"/>
        <n v="837.62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" sheet="ago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s v="Curso Ingles"/>
        <s v="carrefour Tv 7/8"/>
        <s v="Painel solar 6/12"/>
        <s v="futebol domingo"/>
        <s v="padaria"/>
        <s v="egaalimentos"/>
        <s v="gladiador pet shop"/>
        <s v="rodo gril"/>
        <s v="atacadao"/>
        <s v="novo rio agua"/>
        <s v="icaroduarte"/>
        <s v="drogaria"/>
        <s v="petz"/>
        <s v="hzie variedades"/>
        <s v="estacionamento"/>
        <s v="cacula"/>
        <s v="puro gas"/>
        <s v="drogaria tamoio"/>
        <s v="assai"/>
        <s v="garfo e faca"/>
        <s v="cantina alfredo backer"/>
        <s v="sacolao barateiro"/>
        <s v="katarynemotta"/>
        <s v="auto posto top"/>
        <s v="farmelhor"/>
        <s v="grupo genius brasil p"/>
        <s v="guanabara"/>
        <s v="ac cortes"/>
        <s v="outback"/>
        <s v="l t salles hortfruit"/>
        <s v="indigo"/>
        <s v="delirio tropical"/>
        <s v="leandro mayer"/>
        <s v="dayse10comercio"/>
        <s v="paraiso"/>
        <s v="oboticario"/>
        <s v="posto luna"/>
        <s v="casa pedro"/>
        <s v="boleriadavo"/>
        <s v="emallafrios"/>
        <s v="rafael custodio d"/>
        <s v="boleto"/>
        <s v="tapete higienico"/>
        <s v="mercado livre projeto"/>
        <s v="acumputura"/>
        <s v="centauro"/>
        <s v="burguer king"/>
        <s v="deposito racao"/>
        <s v="camisa treino"/>
        <s v="nova fruit"/>
        <s v="lgm distribuidora"/>
        <s v="drograria farmelhor"/>
        <s v="nitetran"/>
        <s v="doces ze garoto"/>
        <s v="matheus silva pires"/>
        <s v="cybernit"/>
        <s v="helcio siqueira"/>
        <s v="niteroirotativo"/>
        <s v="assesoria time de"/>
        <s v="shoppe"/>
        <s v="recarga pre"/>
        <s v="niadestacionamento"/>
        <s v="daniel"/>
        <s v="Diaval treinamentos"/>
        <s v="acai forte"/>
        <s v="nataliabrito"/>
        <s v="magalypay"/>
        <s v="novafruit"/>
        <s v="futebol sabado"/>
        <s v="renan silveira"/>
        <m/>
      </sharedItems>
    </cacheField>
    <cacheField name="dia" numFmtId="0">
      <sharedItems containsString="0" containsBlank="1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1.0"/>
        <n v="3.0"/>
        <n v="4.0"/>
        <n v="9.0"/>
        <n v="12.0"/>
        <n v="13.0"/>
        <n v="23.0"/>
        <n v="19.0"/>
        <n v="21.0"/>
        <n v="22.0"/>
        <n v="24.0"/>
        <n v="7.0"/>
        <n v="18.0"/>
        <n v="29.0"/>
        <n v="31.0"/>
        <m/>
      </sharedItems>
    </cacheField>
    <cacheField name="valor" numFmtId="166">
      <sharedItems containsSemiMixedTypes="0" containsString="0" containsNumber="1">
        <n v="789.0"/>
        <n v="850.0"/>
        <n v="0.0"/>
        <n v="118.0"/>
        <n v="132.76"/>
        <n v="99.9"/>
        <n v="19.95"/>
        <n v="24.9"/>
        <n v="44.9"/>
        <n v="244.12"/>
        <n v="229.8"/>
        <n v="20.0"/>
        <n v="500.0"/>
        <n v="380.0"/>
        <n v="328.55"/>
        <n v="777.56"/>
        <n v="60.0"/>
        <n v="4.0"/>
        <n v="16.0"/>
        <n v="405.0"/>
        <n v="99.1"/>
        <n v="295.94"/>
        <n v="28.0"/>
        <n v="8.0"/>
        <n v="9.5"/>
        <n v="920.05"/>
        <n v="29.99"/>
        <n v="5.0"/>
        <n v="15.04"/>
        <n v="64.7"/>
        <n v="10.4"/>
        <n v="32.3"/>
        <n v="139.55"/>
        <n v="98.58"/>
        <n v="105.0"/>
        <n v="28.22"/>
        <n v="12.0"/>
        <n v="56.24"/>
        <n v="29.59"/>
        <n v="89.5"/>
        <n v="269.21"/>
        <n v="26.07"/>
        <n v="437.02"/>
        <n v="44.8"/>
        <n v="32.0"/>
        <n v="45.0"/>
        <n v="50.0"/>
        <n v="47.0"/>
        <n v="29.44"/>
        <n v="267.9"/>
        <n v="152.99"/>
        <n v="79.81"/>
        <n v="45.9"/>
        <n v="7.0"/>
        <n v="23.1"/>
        <n v="7.56"/>
        <n v="2056.0"/>
        <n v="51.0"/>
        <n v="38.8"/>
        <n v="440.0"/>
        <n v="11.46"/>
        <n v="359.98"/>
        <n v="79.8"/>
        <n v="-750.0"/>
        <n v="55.0"/>
        <n v="18.0"/>
        <n v="15.25"/>
        <n v="11.0"/>
        <n v="77.8"/>
        <n v="9.0"/>
        <n v="439.42"/>
        <n v="14.0"/>
        <n v="50.49"/>
        <n v="67.07"/>
        <n v="280.0"/>
        <n v="10.93"/>
        <n v="209.99"/>
        <n v="34.0"/>
        <n v="104.31"/>
        <n v="80.96"/>
        <n v="30.0"/>
        <n v="17.0"/>
        <n v="380.12"/>
        <n v="3.99"/>
        <n v="43.14"/>
        <n v="11.17"/>
        <n v="7.41"/>
        <n v="15.0"/>
        <n v="68.0"/>
        <n v="837.62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pix aline"/>
        <s v="reforma casa"/>
        <s v="painel solar"/>
        <s v="Lazer"/>
        <s v="Padaria"/>
        <s v="mercado"/>
        <s v="Pet"/>
        <s v="outros"/>
        <s v="farmacia"/>
        <s v="estacionamentos"/>
        <s v="material escolar"/>
        <s v="combustivel"/>
        <s v="Vestuario"/>
        <s v="Feira"/>
        <s v="boleto"/>
        <s v="projetos"/>
        <s v="gift"/>
        <s v="Manutenção casa"/>
        <s v="manutencao veicular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7" sheet="set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carrefour Tv 8/8"/>
        <s v="Painel solar 7/12"/>
        <s v="padaria"/>
        <s v="egaalimentos"/>
        <s v="katarynedamotta"/>
        <s v="purogras"/>
        <s v="assim assado"/>
        <s v="atacadao"/>
        <s v="daniel"/>
        <s v="atacadao posto 13"/>
        <s v="boulevard 425 comerci"/>
        <s v="Auto  posto"/>
        <s v="drogaria tamoio"/>
        <s v="dayse10comercio"/>
        <s v="guanabara"/>
        <s v="Airbnb"/>
        <s v="burguer king"/>
        <s v="clube da sfiha"/>
        <s v="mercado extra"/>
        <s v="posto rasa"/>
        <s v="via lagos rio bonito"/>
        <s v="tubarao inoa"/>
        <s v="lojas americanas"/>
        <s v="samsara"/>
        <s v="mcdonalds"/>
        <s v="hortifruit"/>
        <s v="churrascaria m3c00 del"/>
        <s v="to aky estacionamento"/>
        <s v="ki chopp"/>
        <s v="rosilenemontalvao"/>
        <s v="cassel frutas"/>
        <s v="leandro mayer"/>
        <s v="ac cortes"/>
        <s v="outback"/>
        <s v="kibarato"/>
        <s v="magalu"/>
        <s v="topfabuloso"/>
        <s v="drogaria pacheco"/>
        <s v="justo cafe"/>
        <s v="assai"/>
        <s v="efraim moto pecas"/>
        <s v="chinainbox"/>
        <s v="pesepatas"/>
        <s v="princesa supermercados"/>
        <s v="pista 5 auto pista"/>
        <s v="recargapre"/>
        <s v="niadestacionamentos"/>
        <s v="estacionamento"/>
        <s v="brigadeiro"/>
        <s v="macefix parafusos"/>
        <s v="ana clara"/>
        <s v="matheus"/>
        <s v="Aline H"/>
        <s v="Diego Morares"/>
        <s v="natalia brito"/>
        <s v="pgto fature"/>
        <s v="Cliente e co"/>
        <s v="Vulcabras Sp(tenis"/>
        <s v="Aliexpress"/>
        <s v="petz"/>
        <s v="pagleve"/>
        <s v="shopee"/>
        <s v="Alex"/>
        <s v="Acumputura"/>
      </sharedItems>
    </cacheField>
    <cacheField name="dia" numFmtId="0">
      <sharedItems containsString="0" containsBlank="1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m/>
        <n v="6.0"/>
        <n v="17.0"/>
        <n v="0.0"/>
        <n v="26.0"/>
        <n v="1.0"/>
        <n v="3.0"/>
        <n v="4.0"/>
        <n v="7.0"/>
        <n v="9.0"/>
        <n v="12.0"/>
        <n v="13.0"/>
        <n v="18.0"/>
        <n v="19.0"/>
        <n v="20.0"/>
        <n v="21.0"/>
        <n v="23.0"/>
        <n v="24.0"/>
        <n v="29.0"/>
        <n v="22.0"/>
      </sharedItems>
    </cacheField>
    <cacheField name="valor" numFmtId="166">
      <sharedItems containsSemiMixedTypes="0" containsString="0" containsNumber="1">
        <n v="789.0"/>
        <n v="850.0"/>
        <n v="0.0"/>
        <n v="118.0"/>
        <n v="132.76"/>
        <n v="99.9"/>
        <n v="19.95"/>
        <n v="24.9"/>
        <n v="44.9"/>
        <n v="244.12"/>
        <n v="229.8"/>
        <n v="20.0"/>
        <n v="500.0"/>
        <n v="380.0"/>
        <n v="328.55"/>
        <n v="777.56"/>
        <n v="4.0"/>
        <n v="36.0"/>
        <n v="24.0"/>
        <n v="40.0"/>
        <n v="3.0"/>
        <n v="23.0"/>
        <n v="4.2"/>
        <n v="235.14"/>
        <n v="9.0"/>
        <n v="64.88"/>
        <n v="79.8"/>
        <n v="50.0"/>
        <n v="56.0"/>
        <n v="28.99"/>
        <n v="27.6"/>
        <n v="287.07"/>
        <n v="754.08"/>
        <n v="77.8"/>
        <n v="164.89"/>
        <n v="55.78"/>
        <n v="38.0"/>
        <n v="154.94"/>
        <n v="68.14"/>
        <n v="30.6"/>
        <n v="34.95"/>
        <n v="52.95"/>
        <n v="253.0"/>
        <n v="25.0"/>
        <n v="25.44"/>
        <n v="46.6"/>
        <n v="276.2"/>
        <n v="8.0"/>
        <n v="38.9"/>
        <n v="104.05"/>
        <n v="34.61"/>
        <n v="67.51"/>
        <n v="29.07"/>
        <n v="7.0"/>
        <n v="34.44"/>
        <n v="91.57"/>
        <n v="281.68"/>
        <n v="67.7"/>
        <n v="99.0"/>
        <n v="50.03"/>
        <n v="45.58"/>
        <n v="10.9"/>
        <n v="114.91"/>
        <n v="84.7"/>
        <n v="60.77"/>
        <n v="26.0"/>
        <n v="12.0"/>
        <n v="287.5"/>
        <n v="75.87"/>
        <n v="40.03"/>
        <n v="113.0"/>
        <n v="45.25"/>
        <n v="32.48"/>
        <n v="143.8"/>
        <n v="14.65"/>
        <n v="2.0"/>
        <n v="7.5"/>
        <n v="30.0"/>
        <n v="17.0"/>
        <n v="5.0"/>
        <n v="10.0"/>
        <n v="19.5"/>
        <n v="185.0"/>
        <n v="15.0"/>
        <n v="653.47"/>
        <n v="132.81"/>
        <n v="200.0"/>
        <n v="581.38"/>
        <n v="204.95"/>
        <n v="793.45"/>
        <n v="137.75"/>
        <n v="86.9"/>
        <n v="440.0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 containsBlank="1">
        <s v="boleto"/>
        <s v="Bradesco cartoes"/>
        <s v="debito automatico"/>
        <s v="nubank card"/>
        <s v="Pix"/>
        <m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7" sheet="set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carrefour Tv 8/8"/>
        <s v="Painel solar 7/12"/>
        <s v="padaria"/>
        <s v="egaalimentos"/>
        <s v="katarynedamotta"/>
        <s v="purogras"/>
        <s v="assim assado"/>
        <s v="atacadao"/>
        <s v="daniel"/>
        <s v="atacadao posto 13"/>
        <s v="boulevard 425 comerci"/>
        <s v="Auto  posto"/>
        <s v="drogaria tamoio"/>
        <s v="dayse10comercio"/>
        <s v="guanabara"/>
        <s v="Airbnb"/>
        <s v="burguer king"/>
        <s v="clube da sfiha"/>
        <s v="mercado extra"/>
        <s v="posto rasa"/>
        <s v="via lagos rio bonito"/>
        <s v="tubarao inoa"/>
        <s v="lojas americanas"/>
        <s v="samsara"/>
        <s v="mcdonalds"/>
        <s v="hortifruit"/>
        <s v="churrascaria m3c00 del"/>
        <s v="to aky estacionamento"/>
        <s v="ki chopp"/>
        <s v="rosilenemontalvao"/>
        <s v="cassel frutas"/>
        <s v="leandro mayer"/>
        <s v="ac cortes"/>
        <s v="outback"/>
        <s v="kibarato"/>
        <s v="magalu"/>
        <s v="topfabuloso"/>
        <s v="drogaria pacheco"/>
        <s v="justo cafe"/>
        <s v="assai"/>
        <s v="efraim moto pecas"/>
        <s v="chinainbox"/>
        <s v="pesepatas"/>
        <s v="princesa supermercados"/>
        <s v="pista 5 auto pista"/>
        <s v="recargapre"/>
        <s v="niadestacionamentos"/>
        <s v="estacionamento"/>
        <s v="brigadeiro"/>
        <s v="macefix parafusos"/>
        <s v="ana clara"/>
        <s v="matheus"/>
        <s v="Aline H"/>
        <s v="Diego Morares"/>
        <s v="natalia brito"/>
        <s v="pgto fature"/>
        <s v="Cliente e co"/>
        <s v="Vulcabras Sp(tenis"/>
        <s v="Aliexpress"/>
        <s v="petz"/>
        <s v="pagleve"/>
        <s v="shopee"/>
        <s v="Alex"/>
        <s v="Acumputura"/>
      </sharedItems>
    </cacheField>
    <cacheField name="dia" numFmtId="0">
      <sharedItems containsString="0" containsBlank="1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m/>
        <n v="6.0"/>
        <n v="17.0"/>
        <n v="0.0"/>
        <n v="26.0"/>
        <n v="1.0"/>
        <n v="3.0"/>
        <n v="4.0"/>
        <n v="7.0"/>
        <n v="9.0"/>
        <n v="12.0"/>
        <n v="13.0"/>
        <n v="18.0"/>
        <n v="19.0"/>
        <n v="20.0"/>
        <n v="21.0"/>
        <n v="23.0"/>
        <n v="24.0"/>
        <n v="29.0"/>
        <n v="22.0"/>
      </sharedItems>
    </cacheField>
    <cacheField name="valor" numFmtId="166">
      <sharedItems containsSemiMixedTypes="0" containsString="0" containsNumber="1">
        <n v="789.0"/>
        <n v="850.0"/>
        <n v="0.0"/>
        <n v="118.0"/>
        <n v="132.76"/>
        <n v="99.9"/>
        <n v="19.95"/>
        <n v="24.9"/>
        <n v="44.9"/>
        <n v="244.12"/>
        <n v="229.8"/>
        <n v="20.0"/>
        <n v="500.0"/>
        <n v="380.0"/>
        <n v="328.55"/>
        <n v="777.56"/>
        <n v="4.0"/>
        <n v="36.0"/>
        <n v="24.0"/>
        <n v="40.0"/>
        <n v="3.0"/>
        <n v="23.0"/>
        <n v="4.2"/>
        <n v="235.14"/>
        <n v="9.0"/>
        <n v="64.88"/>
        <n v="79.8"/>
        <n v="50.0"/>
        <n v="56.0"/>
        <n v="28.99"/>
        <n v="27.6"/>
        <n v="287.07"/>
        <n v="754.08"/>
        <n v="77.8"/>
        <n v="164.89"/>
        <n v="55.78"/>
        <n v="38.0"/>
        <n v="154.94"/>
        <n v="68.14"/>
        <n v="30.6"/>
        <n v="34.95"/>
        <n v="52.95"/>
        <n v="253.0"/>
        <n v="25.0"/>
        <n v="25.44"/>
        <n v="46.6"/>
        <n v="276.2"/>
        <n v="8.0"/>
        <n v="38.9"/>
        <n v="104.05"/>
        <n v="34.61"/>
        <n v="67.51"/>
        <n v="29.07"/>
        <n v="7.0"/>
        <n v="34.44"/>
        <n v="91.57"/>
        <n v="281.68"/>
        <n v="67.7"/>
        <n v="99.0"/>
        <n v="50.03"/>
        <n v="45.58"/>
        <n v="10.9"/>
        <n v="114.91"/>
        <n v="84.7"/>
        <n v="60.77"/>
        <n v="26.0"/>
        <n v="12.0"/>
        <n v="287.5"/>
        <n v="75.87"/>
        <n v="40.03"/>
        <n v="113.0"/>
        <n v="45.25"/>
        <n v="32.48"/>
        <n v="143.8"/>
        <n v="14.65"/>
        <n v="2.0"/>
        <n v="7.5"/>
        <n v="30.0"/>
        <n v="17.0"/>
        <n v="5.0"/>
        <n v="10.0"/>
        <n v="19.5"/>
        <n v="185.0"/>
        <n v="15.0"/>
        <n v="653.47"/>
        <n v="132.81"/>
        <n v="200.0"/>
        <n v="581.38"/>
        <n v="204.95"/>
        <n v="793.45"/>
        <n v="137.75"/>
        <n v="86.9"/>
        <n v="440.0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 containsBlank="1">
        <s v="boleto"/>
        <s v="Bradesco cartoes"/>
        <s v="debito automatico"/>
        <s v="nubank card"/>
        <s v="Pix"/>
        <m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" sheet="set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carrefour Tv 8/8"/>
        <s v="Painel solar 7/12"/>
        <s v="padaria"/>
        <s v="egaalimentos"/>
        <s v="katarynedamotta"/>
        <s v="purogras"/>
        <s v="assim assado"/>
        <s v="atacadao"/>
        <s v="daniel"/>
        <s v="atacadao posto 13"/>
        <s v="boulevard 425 comerci"/>
        <s v="Auto  posto"/>
        <s v="drogaria tamoio"/>
        <s v="dayse10comercio"/>
        <s v="guanabara"/>
        <s v="Airbnb"/>
        <s v="burguer king"/>
        <s v="clube da sfiha"/>
        <s v="mercado extra"/>
        <s v="posto rasa"/>
        <s v="via lagos rio bonito"/>
        <s v="tubarao inoa"/>
        <s v="lojas americanas"/>
        <s v="samsara"/>
        <s v="mcdonalds"/>
        <s v="hortifruit"/>
        <s v="churrascaria m3c00 del"/>
        <s v="to aky estacionamento"/>
        <s v="ki chopp"/>
        <s v="rosilenemontalvao"/>
        <s v="cassel frutas"/>
        <s v="leandro mayer"/>
        <s v="ac cortes"/>
        <s v="outback"/>
        <s v="kibarato"/>
        <s v="magalu"/>
        <s v="topfabuloso"/>
        <s v="drogaria pacheco"/>
        <s v="justo cafe"/>
        <s v="assai"/>
        <s v="efraim moto pecas"/>
        <s v="chinainbox"/>
        <s v="pesepatas"/>
        <s v="princesa supermercados"/>
        <s v="pista 5 auto pista"/>
        <s v="recargapre"/>
        <s v="niadestacionamentos"/>
        <s v="estacionamento"/>
        <s v="brigadeiro"/>
        <s v="macefix parafusos"/>
        <s v="ana clara"/>
        <s v="matheus"/>
        <s v="Aline H"/>
        <s v="Diego Morares"/>
        <s v="natalia brito"/>
        <s v="pgto fature"/>
        <s v="Cliente e co"/>
        <s v="Vulcabras Sp(tenis"/>
        <s v="Aliexpress"/>
        <s v="petz"/>
        <s v="pagleve"/>
        <s v="shopee"/>
        <s v="Alex"/>
        <s v="Acumputura"/>
      </sharedItems>
    </cacheField>
    <cacheField name="dia" numFmtId="0">
      <sharedItems containsString="0" containsBlank="1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m/>
        <n v="6.0"/>
        <n v="17.0"/>
        <n v="0.0"/>
        <n v="26.0"/>
        <n v="1.0"/>
        <n v="3.0"/>
        <n v="4.0"/>
        <n v="7.0"/>
        <n v="9.0"/>
        <n v="12.0"/>
        <n v="13.0"/>
        <n v="18.0"/>
        <n v="19.0"/>
        <n v="20.0"/>
        <n v="21.0"/>
        <n v="23.0"/>
        <n v="24.0"/>
        <n v="29.0"/>
        <n v="22.0"/>
      </sharedItems>
    </cacheField>
    <cacheField name="valor" numFmtId="166">
      <sharedItems containsSemiMixedTypes="0" containsString="0" containsNumber="1">
        <n v="789.0"/>
        <n v="850.0"/>
        <n v="0.0"/>
        <n v="118.0"/>
        <n v="132.76"/>
        <n v="99.9"/>
        <n v="19.95"/>
        <n v="24.9"/>
        <n v="44.9"/>
        <n v="244.12"/>
        <n v="229.8"/>
        <n v="20.0"/>
        <n v="500.0"/>
        <n v="380.0"/>
        <n v="328.55"/>
        <n v="777.56"/>
        <n v="4.0"/>
        <n v="36.0"/>
        <n v="24.0"/>
        <n v="40.0"/>
        <n v="3.0"/>
        <n v="23.0"/>
        <n v="4.2"/>
        <n v="235.14"/>
        <n v="9.0"/>
        <n v="64.88"/>
        <n v="79.8"/>
        <n v="50.0"/>
        <n v="56.0"/>
        <n v="28.99"/>
        <n v="27.6"/>
        <n v="287.07"/>
        <n v="754.08"/>
        <n v="77.8"/>
        <n v="164.89"/>
        <n v="55.78"/>
        <n v="38.0"/>
        <n v="154.94"/>
        <n v="68.14"/>
        <n v="30.6"/>
        <n v="34.95"/>
        <n v="52.95"/>
        <n v="253.0"/>
        <n v="25.0"/>
        <n v="25.44"/>
        <n v="46.6"/>
        <n v="276.2"/>
        <n v="8.0"/>
        <n v="38.9"/>
        <n v="104.05"/>
        <n v="34.61"/>
        <n v="67.51"/>
        <n v="29.07"/>
        <n v="7.0"/>
        <n v="34.44"/>
        <n v="91.57"/>
        <n v="281.68"/>
        <n v="67.7"/>
        <n v="99.0"/>
        <n v="50.03"/>
        <n v="45.58"/>
        <n v="10.9"/>
        <n v="114.91"/>
        <n v="84.7"/>
        <n v="60.77"/>
        <n v="26.0"/>
        <n v="12.0"/>
        <n v="287.5"/>
        <n v="75.87"/>
        <n v="40.03"/>
        <n v="113.0"/>
        <n v="45.25"/>
        <n v="32.48"/>
        <n v="143.8"/>
        <n v="14.65"/>
        <n v="2.0"/>
        <n v="7.5"/>
        <n v="30.0"/>
        <n v="17.0"/>
        <n v="5.0"/>
        <n v="10.0"/>
        <n v="19.5"/>
        <n v="185.0"/>
        <n v="15.0"/>
        <n v="653.47"/>
        <n v="132.81"/>
        <n v="200.0"/>
        <n v="581.38"/>
        <n v="204.95"/>
        <n v="793.45"/>
        <n v="137.75"/>
        <n v="86.9"/>
        <n v="440.0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 containsBlank="1">
        <s v="boleto"/>
        <s v="Bradesco cartoes"/>
        <s v="debito automatico"/>
        <s v="nubank card"/>
        <s v="Pix"/>
        <m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pix aline"/>
        <s v="reforma casa"/>
        <s v="painel solar"/>
        <s v="Lazer"/>
        <s v="Padaria"/>
        <s v="mercado"/>
        <s v="Pet"/>
        <s v="outros"/>
        <s v="farmacia"/>
        <s v="estacionamentos"/>
        <s v="material escolar"/>
        <s v="combustivel"/>
        <s v="Vestuario"/>
        <s v="Feira"/>
        <s v="boleto"/>
        <s v="projetos"/>
        <s v="gift"/>
        <s v="Manutenção casa"/>
        <s v="manutencao veicular"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7" sheet="out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Painel solar 8/12"/>
        <s v="futebol domingo"/>
        <s v="horta carioca"/>
        <s v="pada"/>
        <s v="mp*lanchonete"/>
        <s v="perrone"/>
        <s v="auto posto"/>
        <s v="ichiban japonese food"/>
        <s v="padaria"/>
        <s v="lovcafe"/>
        <s v="purogas"/>
        <s v="novo rio"/>
        <s v="rede economia"/>
        <s v="atacadao"/>
        <s v="drogaria pacheco"/>
        <s v="drogaria tamoio"/>
        <s v="r a intima lingerie"/>
        <s v="nova hortifruit"/>
        <s v="cinthia de souza andrade"/>
        <s v="lboleria davo"/>
        <s v="to aky estacionamento"/>
        <s v="riachuelo"/>
        <s v="silviabatista"/>
        <s v="hortfruit"/>
        <s v="estacionamento"/>
        <s v="burguer king"/>
        <s v="casas pedro"/>
        <s v="katarynedamotta"/>
        <s v="drogaraia"/>
        <s v="posto vip"/>
        <s v="ferart coisa e tal"/>
        <s v="cassel frutas"/>
        <s v="carrefour"/>
        <s v="pesepatas"/>
        <s v="petz"/>
        <s v="guanabara"/>
        <s v="amigao"/>
        <s v="pankmotos"/>
        <s v="boleriadavo"/>
        <s v="assai"/>
        <s v="onda do sorvete"/>
        <s v="recarga claro"/>
        <s v="recargapre"/>
        <s v="clientco servicos"/>
        <s v="shoppe"/>
        <s v="aliexpress"/>
        <s v="leroymerlin"/>
        <s v="paulohenrique"/>
        <s v="payall int"/>
        <s v="Alex"/>
        <s v="dentista"/>
        <s v="m4 produtos"/>
        <s v="pix marktplace"/>
        <s v="atlas s"/>
        <s v="Anaclara silva"/>
        <s v="Fabiano silva"/>
        <s v="antonio carlos"/>
      </sharedItems>
    </cacheField>
    <cacheField name="dia" numFmtId="0">
      <sharedItems containsSemiMixedTypes="0" containsString="0" containsNumb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1.0"/>
        <n v="3.0"/>
        <n v="4.0"/>
        <n v="7.0"/>
        <n v="9.0"/>
        <n v="12.0"/>
        <n v="13.0"/>
        <n v="18.0"/>
        <n v="42.19"/>
        <n v="19.0"/>
        <n v="20.0"/>
        <n v="22.0"/>
        <n v="23.0"/>
        <n v="24.0"/>
        <n v="26.0"/>
        <n v="21.0"/>
        <n v="28.0"/>
        <n v="29.0"/>
      </sharedItems>
    </cacheField>
    <cacheField name="valor" numFmtId="166">
      <sharedItems containsSemiMixedTypes="0" containsString="0" containsNumber="1">
        <n v="789.0"/>
        <n v="850.0"/>
        <n v="0.0"/>
        <n v="117.03"/>
        <n v="132.76"/>
        <n v="106.9"/>
        <n v="19.95"/>
        <n v="24.9"/>
        <n v="44.9"/>
        <n v="244.12"/>
        <n v="229.8"/>
        <n v="20.0"/>
        <n v="500.0"/>
        <n v="328.55"/>
        <n v="777.56"/>
        <n v="60.0"/>
        <n v="28.89"/>
        <n v="4.0"/>
        <n v="134.8"/>
        <n v="61.21"/>
        <n v="68.28"/>
        <n v="47.88"/>
        <n v="85.0"/>
        <n v="30.5"/>
        <n v="50.0"/>
        <n v="14.0"/>
        <n v="13.89"/>
        <n v="257.95"/>
        <n v="36.47"/>
        <n v="15.99"/>
        <n v="42.19"/>
        <n v="71.96"/>
        <n v="18.07"/>
        <n v="25.0"/>
        <n v="45.9"/>
        <n v="5.0"/>
        <n v="19.99"/>
        <n v="35.0"/>
        <n v="109.97"/>
        <n v="27.49"/>
        <n v="46.9"/>
        <n v="136.81"/>
        <n v="57.02"/>
        <n v="276.57"/>
        <n v="24.0"/>
        <n v="99.99"/>
        <n v="11.89"/>
        <n v="7.0"/>
        <n v="77.8"/>
        <n v="61.57"/>
        <n v="11.5"/>
        <n v="78.0"/>
        <n v="100.99"/>
        <n v="51.0"/>
        <n v="181.03"/>
        <n v="148.85"/>
        <n v="103.9"/>
        <n v="37.8"/>
        <n v="35.88"/>
        <n v="9.0"/>
        <n v="50.75"/>
        <n v="102.16"/>
        <n v="101.4"/>
        <n v="270.0"/>
        <n v="10.91"/>
        <n v="274.98"/>
        <n v="26.75"/>
        <n v="55.2"/>
        <n v="74.37"/>
        <n v="30.0"/>
        <n v="132.58"/>
        <n v="58.73"/>
        <n v="3.35"/>
        <n v="82.41"/>
        <n v="156.25"/>
        <n v="1057.63"/>
        <n v="106.62"/>
        <n v="16.14"/>
        <n v="79.8"/>
        <n v="22.49"/>
        <n v="2000.0"/>
        <n v="29.89"/>
        <n v="2140.0"/>
        <n v="10.0"/>
        <n v="39.65"/>
        <n v="132.0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7" sheet="out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Painel solar 8/12"/>
        <s v="futebol domingo"/>
        <s v="horta carioca"/>
        <s v="pada"/>
        <s v="mp*lanchonete"/>
        <s v="perrone"/>
        <s v="auto posto"/>
        <s v="ichiban japonese food"/>
        <s v="padaria"/>
        <s v="lovcafe"/>
        <s v="purogas"/>
        <s v="novo rio"/>
        <s v="rede economia"/>
        <s v="atacadao"/>
        <s v="drogaria pacheco"/>
        <s v="drogaria tamoio"/>
        <s v="r a intima lingerie"/>
        <s v="nova hortifruit"/>
        <s v="cinthia de souza andrade"/>
        <s v="lboleria davo"/>
        <s v="to aky estacionamento"/>
        <s v="riachuelo"/>
        <s v="silviabatista"/>
        <s v="hortfruit"/>
        <s v="estacionamento"/>
        <s v="burguer king"/>
        <s v="casas pedro"/>
        <s v="katarynedamotta"/>
        <s v="drogaraia"/>
        <s v="posto vip"/>
        <s v="ferart coisa e tal"/>
        <s v="cassel frutas"/>
        <s v="carrefour"/>
        <s v="pesepatas"/>
        <s v="petz"/>
        <s v="guanabara"/>
        <s v="amigao"/>
        <s v="pankmotos"/>
        <s v="boleriadavo"/>
        <s v="assai"/>
        <s v="onda do sorvete"/>
        <s v="recarga claro"/>
        <s v="recargapre"/>
        <s v="clientco servicos"/>
        <s v="shoppe"/>
        <s v="aliexpress"/>
        <s v="leroymerlin"/>
        <s v="paulohenrique"/>
        <s v="payall int"/>
        <s v="Alex"/>
        <s v="dentista"/>
        <s v="m4 produtos"/>
        <s v="pix marktplace"/>
        <s v="atlas s"/>
        <s v="Anaclara silva"/>
        <s v="Fabiano silva"/>
        <s v="antonio carlos"/>
      </sharedItems>
    </cacheField>
    <cacheField name="dia" numFmtId="0">
      <sharedItems containsSemiMixedTypes="0" containsString="0" containsNumb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1.0"/>
        <n v="3.0"/>
        <n v="4.0"/>
        <n v="7.0"/>
        <n v="9.0"/>
        <n v="12.0"/>
        <n v="13.0"/>
        <n v="18.0"/>
        <n v="42.19"/>
        <n v="19.0"/>
        <n v="20.0"/>
        <n v="22.0"/>
        <n v="23.0"/>
        <n v="24.0"/>
        <n v="26.0"/>
        <n v="21.0"/>
        <n v="28.0"/>
        <n v="29.0"/>
      </sharedItems>
    </cacheField>
    <cacheField name="valor" numFmtId="166">
      <sharedItems containsSemiMixedTypes="0" containsString="0" containsNumber="1">
        <n v="789.0"/>
        <n v="850.0"/>
        <n v="0.0"/>
        <n v="117.03"/>
        <n v="132.76"/>
        <n v="106.9"/>
        <n v="19.95"/>
        <n v="24.9"/>
        <n v="44.9"/>
        <n v="244.12"/>
        <n v="229.8"/>
        <n v="20.0"/>
        <n v="500.0"/>
        <n v="328.55"/>
        <n v="777.56"/>
        <n v="60.0"/>
        <n v="28.89"/>
        <n v="4.0"/>
        <n v="134.8"/>
        <n v="61.21"/>
        <n v="68.28"/>
        <n v="47.88"/>
        <n v="85.0"/>
        <n v="30.5"/>
        <n v="50.0"/>
        <n v="14.0"/>
        <n v="13.89"/>
        <n v="257.95"/>
        <n v="36.47"/>
        <n v="15.99"/>
        <n v="42.19"/>
        <n v="71.96"/>
        <n v="18.07"/>
        <n v="25.0"/>
        <n v="45.9"/>
        <n v="5.0"/>
        <n v="19.99"/>
        <n v="35.0"/>
        <n v="109.97"/>
        <n v="27.49"/>
        <n v="46.9"/>
        <n v="136.81"/>
        <n v="57.02"/>
        <n v="276.57"/>
        <n v="24.0"/>
        <n v="99.99"/>
        <n v="11.89"/>
        <n v="7.0"/>
        <n v="77.8"/>
        <n v="61.57"/>
        <n v="11.5"/>
        <n v="78.0"/>
        <n v="100.99"/>
        <n v="51.0"/>
        <n v="181.03"/>
        <n v="148.85"/>
        <n v="103.9"/>
        <n v="37.8"/>
        <n v="35.88"/>
        <n v="9.0"/>
        <n v="50.75"/>
        <n v="102.16"/>
        <n v="101.4"/>
        <n v="270.0"/>
        <n v="10.91"/>
        <n v="274.98"/>
        <n v="26.75"/>
        <n v="55.2"/>
        <n v="74.37"/>
        <n v="30.0"/>
        <n v="132.58"/>
        <n v="58.73"/>
        <n v="3.35"/>
        <n v="82.41"/>
        <n v="156.25"/>
        <n v="1057.63"/>
        <n v="106.62"/>
        <n v="16.14"/>
        <n v="79.8"/>
        <n v="22.49"/>
        <n v="2000.0"/>
        <n v="29.89"/>
        <n v="2140.0"/>
        <n v="10.0"/>
        <n v="39.65"/>
        <n v="132.0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" sheet="out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m/>
        <s v="Painel solar 8/12"/>
        <s v="futebol domingo"/>
        <s v="horta carioca"/>
        <s v="pada"/>
        <s v="mp*lanchonete"/>
        <s v="perrone"/>
        <s v="auto posto"/>
        <s v="ichiban japonese food"/>
        <s v="padaria"/>
        <s v="lovcafe"/>
        <s v="purogas"/>
        <s v="novo rio"/>
        <s v="rede economia"/>
        <s v="atacadao"/>
        <s v="drogaria pacheco"/>
        <s v="drogaria tamoio"/>
        <s v="r a intima lingerie"/>
        <s v="nova hortifruit"/>
        <s v="cinthia de souza andrade"/>
        <s v="lboleria davo"/>
        <s v="to aky estacionamento"/>
        <s v="riachuelo"/>
        <s v="silviabatista"/>
        <s v="hortfruit"/>
        <s v="estacionamento"/>
        <s v="burguer king"/>
        <s v="casas pedro"/>
        <s v="katarynedamotta"/>
        <s v="drogaraia"/>
        <s v="posto vip"/>
        <s v="ferart coisa e tal"/>
        <s v="cassel frutas"/>
        <s v="carrefour"/>
        <s v="pesepatas"/>
        <s v="petz"/>
        <s v="guanabara"/>
        <s v="amigao"/>
        <s v="pankmotos"/>
        <s v="boleriadavo"/>
        <s v="assai"/>
        <s v="onda do sorvete"/>
        <s v="recarga claro"/>
        <s v="recargapre"/>
        <s v="clientco servicos"/>
        <s v="shoppe"/>
        <s v="aliexpress"/>
        <s v="leroymerlin"/>
        <s v="paulohenrique"/>
        <s v="payall int"/>
        <s v="Alex"/>
        <s v="dentista"/>
        <s v="m4 produtos"/>
        <s v="pix marktplace"/>
        <s v="atlas s"/>
        <s v="Anaclara silva"/>
        <s v="Fabiano silva"/>
        <s v="antonio carlos"/>
      </sharedItems>
    </cacheField>
    <cacheField name="dia" numFmtId="0">
      <sharedItems containsSemiMixedTypes="0" containsString="0" containsNumb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0.0"/>
        <n v="1.0"/>
        <n v="3.0"/>
        <n v="4.0"/>
        <n v="7.0"/>
        <n v="9.0"/>
        <n v="12.0"/>
        <n v="13.0"/>
        <n v="18.0"/>
        <n v="42.19"/>
        <n v="19.0"/>
        <n v="20.0"/>
        <n v="22.0"/>
        <n v="23.0"/>
        <n v="24.0"/>
        <n v="26.0"/>
        <n v="21.0"/>
        <n v="28.0"/>
        <n v="29.0"/>
      </sharedItems>
    </cacheField>
    <cacheField name="valor" numFmtId="166">
      <sharedItems containsSemiMixedTypes="0" containsString="0" containsNumber="1">
        <n v="789.0"/>
        <n v="850.0"/>
        <n v="0.0"/>
        <n v="117.03"/>
        <n v="132.76"/>
        <n v="106.9"/>
        <n v="19.95"/>
        <n v="24.9"/>
        <n v="44.9"/>
        <n v="244.12"/>
        <n v="229.8"/>
        <n v="20.0"/>
        <n v="500.0"/>
        <n v="328.55"/>
        <n v="777.56"/>
        <n v="60.0"/>
        <n v="28.89"/>
        <n v="4.0"/>
        <n v="134.8"/>
        <n v="61.21"/>
        <n v="68.28"/>
        <n v="47.88"/>
        <n v="85.0"/>
        <n v="30.5"/>
        <n v="50.0"/>
        <n v="14.0"/>
        <n v="13.89"/>
        <n v="257.95"/>
        <n v="36.47"/>
        <n v="15.99"/>
        <n v="42.19"/>
        <n v="71.96"/>
        <n v="18.07"/>
        <n v="25.0"/>
        <n v="45.9"/>
        <n v="5.0"/>
        <n v="19.99"/>
        <n v="35.0"/>
        <n v="109.97"/>
        <n v="27.49"/>
        <n v="46.9"/>
        <n v="136.81"/>
        <n v="57.02"/>
        <n v="276.57"/>
        <n v="24.0"/>
        <n v="99.99"/>
        <n v="11.89"/>
        <n v="7.0"/>
        <n v="77.8"/>
        <n v="61.57"/>
        <n v="11.5"/>
        <n v="78.0"/>
        <n v="100.99"/>
        <n v="51.0"/>
        <n v="181.03"/>
        <n v="148.85"/>
        <n v="103.9"/>
        <n v="37.8"/>
        <n v="35.88"/>
        <n v="9.0"/>
        <n v="50.75"/>
        <n v="102.16"/>
        <n v="101.4"/>
        <n v="270.0"/>
        <n v="10.91"/>
        <n v="274.98"/>
        <n v="26.75"/>
        <n v="55.2"/>
        <n v="74.37"/>
        <n v="30.0"/>
        <n v="132.58"/>
        <n v="58.73"/>
        <n v="3.35"/>
        <n v="82.41"/>
        <n v="156.25"/>
        <n v="1057.63"/>
        <n v="106.62"/>
        <n v="16.14"/>
        <n v="79.8"/>
        <n v="22.49"/>
        <n v="2000.0"/>
        <n v="29.89"/>
        <n v="2140.0"/>
        <n v="10.0"/>
        <n v="39.65"/>
        <n v="132.0"/>
      </sharedItems>
    </cacheField>
    <cacheField name="situacao" numFmtId="0">
      <sharedItems containsBlank="1">
        <s v="pg"/>
        <s v="open"/>
        <s v="closed"/>
        <m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pix aline"/>
        <s v="reforma casa"/>
        <s v="painel solar"/>
        <s v="Lazer"/>
        <s v="Padaria"/>
        <s v="mercado"/>
        <s v="Pet"/>
        <s v="outros"/>
        <s v="farmacia"/>
        <s v="estacionamentos"/>
        <s v="material escolar"/>
        <s v="combustivel"/>
        <s v="Vestuario"/>
        <s v="Feira"/>
        <s v="boleto"/>
        <s v="projetos"/>
        <s v="gift"/>
        <s v="Manutenção casa"/>
        <s v="manutencao veicular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7" sheet="jul25"/>
  </cacheSource>
  <cacheFields>
    <cacheField name="Descrição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s v="Curso Ingles"/>
        <s v="carrefour Tv 6/8"/>
        <s v="Painel solar 5/12"/>
        <s v="Futebol Domingo"/>
        <s v="boleto"/>
        <s v="habibs"/>
        <s v="pastel"/>
        <s v="auto posto t"/>
        <s v="petz"/>
        <s v="cia do doce"/>
        <s v="raizes de minas"/>
        <s v="daniel"/>
        <s v="restaurante partage"/>
        <s v="pes e patas"/>
        <s v="sacolao barateiro"/>
        <s v="pank motos"/>
        <s v="casas pedro"/>
        <s v="jequiti"/>
        <s v="genius brasil (habibis)"/>
        <s v="padaria"/>
        <s v="atacadao"/>
        <s v="hortifuit"/>
        <s v="obotocario"/>
        <s v="petz manilha"/>
        <s v="katarynedamotta"/>
        <s v="samantamenizes dermat"/>
        <s v="guanabara"/>
        <s v="drogarria 3 poderes"/>
        <s v="puro gas"/>
        <s v="lgm distribuidora padaria"/>
        <s v="assai"/>
        <s v="cassel frutas"/>
        <s v="rote casa de racoes"/>
        <s v="posto vip"/>
        <s v="burguer king"/>
        <s v="cacula "/>
        <s v="Estacionamento "/>
        <s v="boleria davo ed."/>
        <s v="bisturi"/>
        <s v="utilicasa"/>
        <s v="affrikagourmet"/>
        <s v="claudiacristina"/>
        <s v="ficandoveg"/>
        <s v="ednilzaborges"/>
        <s v="ysis kyoko neves yukiz"/>
        <s v="requinte alcantara"/>
        <s v="makineta"/>
        <s v="objetiva"/>
        <s v="dayse10comercio"/>
        <s v="aliexpress"/>
        <s v="fofo cell"/>
        <s v="cell eletrônico "/>
        <s v="235 patio alcantara"/>
        <s v="riachuelo"/>
        <s v="ki chopp"/>
        <s v="cobasi"/>
        <s v="mercadopago"/>
        <m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9.0"/>
        <n v="0.0"/>
        <n v="1.0"/>
        <n v="3.0"/>
        <n v="4.0"/>
        <n v="7.0"/>
        <n v="12.0"/>
        <n v="13.0"/>
        <n v="19.0"/>
        <n v="20.0"/>
        <n v="24.0"/>
        <n v="26.0"/>
        <n v="23.0"/>
        <n v="21.0"/>
        <n v="29.0"/>
      </sharedItems>
    </cacheField>
    <cacheField name="valor" numFmtId="166">
      <sharedItems containsSemiMixedTypes="0" containsString="0" containsNumber="1">
        <n v="789.0"/>
        <n v="850.0"/>
        <n v="140.0"/>
        <n v="60.0"/>
        <n v="132.76"/>
        <n v="99.9"/>
        <n v="19.95"/>
        <n v="0.0"/>
        <n v="24.9"/>
        <n v="44.9"/>
        <n v="244.12"/>
        <n v="229.8"/>
        <n v="20.0"/>
        <n v="500.0"/>
        <n v="380.0"/>
        <n v="328.55"/>
        <n v="777.56"/>
        <n v="50.0"/>
        <n v="230.76"/>
        <n v="21.55"/>
        <n v="95.8"/>
        <n v="7.0"/>
        <n v="85.7"/>
        <n v="103.9"/>
        <n v="25.5"/>
        <n v="130.0"/>
        <n v="96.93"/>
        <n v="57.8"/>
        <n v="65.85"/>
        <n v="24.0"/>
        <n v="49.54"/>
        <n v="4.0"/>
        <n v="82.96"/>
        <n v="58.32"/>
        <n v="54.32"/>
        <n v="27.9"/>
        <n v="230.0"/>
        <n v="109.99"/>
        <n v="71.97"/>
        <n v="59.6"/>
        <n v="9.0"/>
        <n v="40.0"/>
        <n v="8.0"/>
        <n v="132.79"/>
        <n v="38.86"/>
        <n v="48.6"/>
        <n v="178.38"/>
        <n v="12.4"/>
        <n v="72.8"/>
        <n v="39.97"/>
        <n v="20.4"/>
        <n v="5.0"/>
        <n v="45.9"/>
        <n v="64.64"/>
        <n v="757.8"/>
        <n v="24.99"/>
        <n v="30.0"/>
        <n v="27.0"/>
        <n v="17.0"/>
        <n v="62.0"/>
        <n v="10.0"/>
        <n v="66.09"/>
        <n v="29.99"/>
        <n v="81.9"/>
        <n v="19.99"/>
        <n v="64.97"/>
        <n v="159.98"/>
        <n v="103.99"/>
        <n v="26.74"/>
        <n v="285.03"/>
        <n v="297.52"/>
        <n v="60.98"/>
        <n v="11.0"/>
        <n v="69.99"/>
        <n v="49.99"/>
        <n v="38.9"/>
        <n v="104.97"/>
        <n v="104.12"/>
        <n v="481.19"/>
        <n v="193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7" sheet="jul25"/>
  </cacheSource>
  <cacheFields>
    <cacheField name="Descrição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s v="Curso Ingles"/>
        <s v="carrefour Tv 6/8"/>
        <s v="Painel solar 5/12"/>
        <s v="Futebol Domingo"/>
        <s v="boleto"/>
        <s v="habibs"/>
        <s v="pastel"/>
        <s v="auto posto t"/>
        <s v="petz"/>
        <s v="cia do doce"/>
        <s v="raizes de minas"/>
        <s v="daniel"/>
        <s v="restaurante partage"/>
        <s v="pes e patas"/>
        <s v="sacolao barateiro"/>
        <s v="pank motos"/>
        <s v="casas pedro"/>
        <s v="jequiti"/>
        <s v="genius brasil (habibis)"/>
        <s v="padaria"/>
        <s v="atacadao"/>
        <s v="hortifuit"/>
        <s v="obotocario"/>
        <s v="petz manilha"/>
        <s v="katarynedamotta"/>
        <s v="samantamenizes dermat"/>
        <s v="guanabara"/>
        <s v="drogarria 3 poderes"/>
        <s v="puro gas"/>
        <s v="lgm distribuidora padaria"/>
        <s v="assai"/>
        <s v="cassel frutas"/>
        <s v="rote casa de racoes"/>
        <s v="posto vip"/>
        <s v="burguer king"/>
        <s v="cacula "/>
        <s v="Estacionamento "/>
        <s v="boleria davo ed."/>
        <s v="bisturi"/>
        <s v="utilicasa"/>
        <s v="affrikagourmet"/>
        <s v="claudiacristina"/>
        <s v="ficandoveg"/>
        <s v="ednilzaborges"/>
        <s v="ysis kyoko neves yukiz"/>
        <s v="requinte alcantara"/>
        <s v="makineta"/>
        <s v="objetiva"/>
        <s v="dayse10comercio"/>
        <s v="aliexpress"/>
        <s v="fofo cell"/>
        <s v="cell eletrônico "/>
        <s v="235 patio alcantara"/>
        <s v="riachuelo"/>
        <s v="ki chopp"/>
        <s v="cobasi"/>
        <s v="mercadopago"/>
        <m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9.0"/>
        <n v="0.0"/>
        <n v="1.0"/>
        <n v="3.0"/>
        <n v="4.0"/>
        <n v="7.0"/>
        <n v="12.0"/>
        <n v="13.0"/>
        <n v="19.0"/>
        <n v="20.0"/>
        <n v="24.0"/>
        <n v="26.0"/>
        <n v="23.0"/>
        <n v="21.0"/>
        <n v="29.0"/>
      </sharedItems>
    </cacheField>
    <cacheField name="valor" numFmtId="166">
      <sharedItems containsSemiMixedTypes="0" containsString="0" containsNumber="1">
        <n v="789.0"/>
        <n v="850.0"/>
        <n v="140.0"/>
        <n v="60.0"/>
        <n v="132.76"/>
        <n v="99.9"/>
        <n v="19.95"/>
        <n v="0.0"/>
        <n v="24.9"/>
        <n v="44.9"/>
        <n v="244.12"/>
        <n v="229.8"/>
        <n v="20.0"/>
        <n v="500.0"/>
        <n v="380.0"/>
        <n v="328.55"/>
        <n v="777.56"/>
        <n v="50.0"/>
        <n v="230.76"/>
        <n v="21.55"/>
        <n v="95.8"/>
        <n v="7.0"/>
        <n v="85.7"/>
        <n v="103.9"/>
        <n v="25.5"/>
        <n v="130.0"/>
        <n v="96.93"/>
        <n v="57.8"/>
        <n v="65.85"/>
        <n v="24.0"/>
        <n v="49.54"/>
        <n v="4.0"/>
        <n v="82.96"/>
        <n v="58.32"/>
        <n v="54.32"/>
        <n v="27.9"/>
        <n v="230.0"/>
        <n v="109.99"/>
        <n v="71.97"/>
        <n v="59.6"/>
        <n v="9.0"/>
        <n v="40.0"/>
        <n v="8.0"/>
        <n v="132.79"/>
        <n v="38.86"/>
        <n v="48.6"/>
        <n v="178.38"/>
        <n v="12.4"/>
        <n v="72.8"/>
        <n v="39.97"/>
        <n v="20.4"/>
        <n v="5.0"/>
        <n v="45.9"/>
        <n v="64.64"/>
        <n v="757.8"/>
        <n v="24.99"/>
        <n v="30.0"/>
        <n v="27.0"/>
        <n v="17.0"/>
        <n v="62.0"/>
        <n v="10.0"/>
        <n v="66.09"/>
        <n v="29.99"/>
        <n v="81.9"/>
        <n v="19.99"/>
        <n v="64.97"/>
        <n v="159.98"/>
        <n v="103.99"/>
        <n v="26.74"/>
        <n v="285.03"/>
        <n v="297.52"/>
        <n v="60.98"/>
        <n v="11.0"/>
        <n v="69.99"/>
        <n v="49.99"/>
        <n v="38.9"/>
        <n v="104.97"/>
        <n v="104.12"/>
        <n v="481.19"/>
        <n v="193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" sheet="jul25"/>
  </cacheSource>
  <cacheFields>
    <cacheField name="Descrição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aline"/>
        <s v="Curso Ingles"/>
        <s v="carrefour Tv 6/8"/>
        <s v="Painel solar 5/12"/>
        <s v="Futebol Domingo"/>
        <s v="boleto"/>
        <s v="habibs"/>
        <s v="pastel"/>
        <s v="auto posto t"/>
        <s v="petz"/>
        <s v="cia do doce"/>
        <s v="raizes de minas"/>
        <s v="daniel"/>
        <s v="restaurante partage"/>
        <s v="pes e patas"/>
        <s v="sacolao barateiro"/>
        <s v="pank motos"/>
        <s v="casas pedro"/>
        <s v="jequiti"/>
        <s v="genius brasil (habibis)"/>
        <s v="padaria"/>
        <s v="atacadao"/>
        <s v="hortifuit"/>
        <s v="obotocario"/>
        <s v="petz manilha"/>
        <s v="katarynedamotta"/>
        <s v="samantamenizes dermat"/>
        <s v="guanabara"/>
        <s v="drogarria 3 poderes"/>
        <s v="puro gas"/>
        <s v="lgm distribuidora padaria"/>
        <s v="assai"/>
        <s v="cassel frutas"/>
        <s v="rote casa de racoes"/>
        <s v="posto vip"/>
        <s v="burguer king"/>
        <s v="cacula "/>
        <s v="Estacionamento "/>
        <s v="boleria davo ed."/>
        <s v="bisturi"/>
        <s v="utilicasa"/>
        <s v="affrikagourmet"/>
        <s v="claudiacristina"/>
        <s v="ficandoveg"/>
        <s v="ednilzaborges"/>
        <s v="ysis kyoko neves yukiz"/>
        <s v="requinte alcantara"/>
        <s v="makineta"/>
        <s v="objetiva"/>
        <s v="dayse10comercio"/>
        <s v="aliexpress"/>
        <s v="fofo cell"/>
        <s v="cell eletrônico "/>
        <s v="235 patio alcantara"/>
        <s v="riachuelo"/>
        <s v="ki chopp"/>
        <s v="cobasi"/>
        <s v="mercadopago"/>
        <m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.0"/>
        <n v="15.0"/>
        <n v="8.0"/>
        <n v="27.0"/>
        <n v="10.0"/>
        <n v="6.0"/>
        <n v="17.0"/>
        <n v="9.0"/>
        <n v="0.0"/>
        <n v="1.0"/>
        <n v="3.0"/>
        <n v="4.0"/>
        <n v="7.0"/>
        <n v="12.0"/>
        <n v="13.0"/>
        <n v="19.0"/>
        <n v="20.0"/>
        <n v="24.0"/>
        <n v="26.0"/>
        <n v="23.0"/>
        <n v="21.0"/>
        <n v="29.0"/>
      </sharedItems>
    </cacheField>
    <cacheField name="valor" numFmtId="166">
      <sharedItems containsSemiMixedTypes="0" containsString="0" containsNumber="1">
        <n v="789.0"/>
        <n v="850.0"/>
        <n v="140.0"/>
        <n v="60.0"/>
        <n v="132.76"/>
        <n v="99.9"/>
        <n v="19.95"/>
        <n v="0.0"/>
        <n v="24.9"/>
        <n v="44.9"/>
        <n v="244.12"/>
        <n v="229.8"/>
        <n v="20.0"/>
        <n v="500.0"/>
        <n v="380.0"/>
        <n v="328.55"/>
        <n v="777.56"/>
        <n v="50.0"/>
        <n v="230.76"/>
        <n v="21.55"/>
        <n v="95.8"/>
        <n v="7.0"/>
        <n v="85.7"/>
        <n v="103.9"/>
        <n v="25.5"/>
        <n v="130.0"/>
        <n v="96.93"/>
        <n v="57.8"/>
        <n v="65.85"/>
        <n v="24.0"/>
        <n v="49.54"/>
        <n v="4.0"/>
        <n v="82.96"/>
        <n v="58.32"/>
        <n v="54.32"/>
        <n v="27.9"/>
        <n v="230.0"/>
        <n v="109.99"/>
        <n v="71.97"/>
        <n v="59.6"/>
        <n v="9.0"/>
        <n v="40.0"/>
        <n v="8.0"/>
        <n v="132.79"/>
        <n v="38.86"/>
        <n v="48.6"/>
        <n v="178.38"/>
        <n v="12.4"/>
        <n v="72.8"/>
        <n v="39.97"/>
        <n v="20.4"/>
        <n v="5.0"/>
        <n v="45.9"/>
        <n v="64.64"/>
        <n v="757.8"/>
        <n v="24.99"/>
        <n v="30.0"/>
        <n v="27.0"/>
        <n v="17.0"/>
        <n v="62.0"/>
        <n v="10.0"/>
        <n v="66.09"/>
        <n v="29.99"/>
        <n v="81.9"/>
        <n v="19.99"/>
        <n v="64.97"/>
        <n v="159.98"/>
        <n v="103.99"/>
        <n v="26.74"/>
        <n v="285.03"/>
        <n v="297.52"/>
        <n v="60.98"/>
        <n v="11.0"/>
        <n v="69.99"/>
        <n v="49.99"/>
        <n v="38.9"/>
        <n v="104.97"/>
        <n v="104.12"/>
        <n v="481.19"/>
        <n v="193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pix aline"/>
        <s v="reforma casa"/>
        <s v="painel solar"/>
        <s v="Lazer"/>
        <s v="boleto"/>
        <s v="combustivel"/>
        <s v="Pet"/>
        <s v="mercado"/>
        <s v="Feira"/>
        <s v="gift"/>
        <s v="Padaria"/>
        <s v="farmacia"/>
        <s v="material escolar"/>
        <s v="estacionamentos"/>
        <s v="Vestuario"/>
        <s v="Manutenção casa"/>
        <s v="projetos"/>
        <s v="outros"/>
        <s v="manutencao veicular"/>
      </sharedItems>
    </cacheField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7" sheet="jun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estacionamento"/>
        <s v="JoseLuiz lopes"/>
        <s v="parafusos"/>
        <s v="Ecoponto pedagio"/>
        <s v="Recarga claro"/>
        <s v="Recarga TIm Aline"/>
        <s v="Diaval treinamento de 09/06"/>
        <s v="Casa valentim"/>
        <s v="Junior e evelyn doce"/>
        <s v="fernado esteves 17/06"/>
        <s v="Jose luiz lopes de Ar 19/06"/>
        <s v="Atlas sa"/>
        <s v="tapete higienico"/>
        <s v="mercado livre"/>
        <s v="presente arthur"/>
        <s v="futebol sabado"/>
        <s v="futebol domingo"/>
        <s v="carrefour Tv 5/8"/>
        <s v="Painel solar 4/12"/>
        <s v="burguer king"/>
        <s v="padaria"/>
        <s v="dayse10comerciode"/>
        <s v="Puro gas"/>
        <s v="spoleto"/>
        <s v="atacadao"/>
        <s v="auto posto T"/>
        <s v="china in box"/>
        <s v="petz"/>
        <s v="farmacia"/>
        <s v="rede economia"/>
        <s v="top arena"/>
        <s v="cults3d.com"/>
        <s v="katarynedamotta"/>
        <s v="iof"/>
        <s v="hortifruiti"/>
        <s v="nova fruit"/>
        <s v="leandromayer"/>
        <s v="shopee meizitechltda"/>
        <s v="hf studiohair"/>
        <s v="carrefour alcantara"/>
        <s v="pes e patas"/>
        <s v="grupo genius Brasil p"/>
        <s v="affrikagourmet"/>
        <s v="Bardana Natural"/>
        <s v="Superfacil va"/>
        <s v="cassel frutas"/>
        <s v="fabrica de bolos"/>
        <s v="Guanabara"/>
        <s v="sacolao barateiro"/>
        <s v="Publix"/>
        <s v="assai"/>
        <s v="marisa"/>
        <s v="kifesta"/>
        <s v="soldagreste"/>
        <s v="Pastel Amigao"/>
        <s v="mp espetos"/>
        <s v="posto vip caneco Novem"/>
        <s v="Amigao"/>
        <s v="rafirro empadas"/>
        <s v="vlc copias e xerox"/>
        <s v="ponto mix 19 alcantara"/>
        <s v="leandro mayer alfafini 81"/>
        <s v="bolevard sg 417 doceri"/>
        <s v="irene ferreira de jesus"/>
        <s v="luizhenrique"/>
        <s v="aledsondasilvadia"/>
        <s v="pank motos"/>
        <s v="aline"/>
        <m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.0"/>
        <n v="15.0"/>
        <n v="8.0"/>
        <n v="27.0"/>
        <n v="17.0"/>
        <n v="6.0"/>
        <n v="9.0"/>
        <n v="13.0"/>
        <n v="18.0"/>
        <n v="20.0"/>
        <n v="26.0"/>
        <n v="19.0"/>
        <n v="28.0"/>
        <n v="0.0"/>
        <n v="1.0"/>
        <n v="3.0"/>
        <n v="4.0"/>
        <n v="7.0"/>
        <n v="10.0"/>
        <n v="12.0"/>
        <n v="21.0"/>
        <n v="22.0"/>
        <n v="23.0"/>
        <n v="24.0"/>
        <n v="29.0"/>
      </sharedItems>
    </cacheField>
    <cacheField name="valor" numFmtId="166">
      <sharedItems containsSemiMixedTypes="0" containsString="0" containsNumber="1">
        <n v="789.0"/>
        <n v="685.78"/>
        <n v="140.0"/>
        <n v="356.67"/>
        <n v="132.76"/>
        <n v="99.9"/>
        <n v="19.95"/>
        <n v="0.0"/>
        <n v="166.0"/>
        <n v="24.9"/>
        <n v="44.9"/>
        <n v="244.12"/>
        <n v="229.8"/>
        <n v="20.0"/>
        <n v="5.0"/>
        <n v="10.0"/>
        <n v="9.0"/>
        <n v="6.2"/>
        <n v="30.0"/>
        <n v="380.12"/>
        <n v="3.06"/>
        <n v="4.0"/>
        <n v="4.8"/>
        <n v="60.0"/>
        <n v="133.0"/>
        <n v="51.93"/>
        <n v="114.62"/>
        <n v="309.28"/>
        <n v="15.0"/>
        <n v="65.0"/>
        <n v="328.55"/>
        <n v="777.56"/>
        <n v="69.8"/>
        <n v="10.2"/>
        <n v="40.0"/>
        <n v="56.8"/>
        <n v="74.65"/>
        <n v="65.03"/>
        <n v="74.16"/>
        <n v="461.53"/>
        <n v="49.98"/>
        <n v="15.97"/>
        <n v="9.84"/>
        <n v="24.0"/>
        <n v="0.34"/>
        <n v="27.75"/>
        <n v="23.48"/>
        <n v="70.0"/>
        <n v="4.4"/>
        <n v="60.9"/>
        <n v="280.89"/>
        <n v="199.52"/>
        <n v="103.9"/>
        <n v="49.54"/>
        <n v="85.0"/>
        <n v="10.9"/>
        <n v="138.27"/>
        <n v="14.98"/>
        <n v="20.55"/>
        <n v="50.0"/>
        <n v="38.0"/>
        <n v="158.35"/>
        <n v="14.29"/>
        <n v="11.98"/>
        <n v="343.96"/>
        <n v="114.98"/>
        <n v="7.95"/>
        <n v="32.0"/>
        <n v="25.0"/>
        <n v="9.99"/>
        <n v="21.5"/>
        <n v="78.0"/>
        <n v="3.0"/>
        <n v="49.99"/>
        <n v="36.0"/>
        <n v="154.14"/>
        <n v="5.5"/>
        <n v="68.0"/>
        <n v="229.48"/>
        <n v="71.91"/>
        <n v="70.2"/>
        <n v="45.0"/>
        <n v="200.0"/>
        <n v="500.0"/>
        <n v="228.16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7" sheet="jun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estacionamento"/>
        <s v="JoseLuiz lopes"/>
        <s v="parafusos"/>
        <s v="Ecoponto pedagio"/>
        <s v="Recarga claro"/>
        <s v="Recarga TIm Aline"/>
        <s v="Diaval treinamento de 09/06"/>
        <s v="Casa valentim"/>
        <s v="Junior e evelyn doce"/>
        <s v="fernado esteves 17/06"/>
        <s v="Jose luiz lopes de Ar 19/06"/>
        <s v="Atlas sa"/>
        <s v="tapete higienico"/>
        <s v="mercado livre"/>
        <s v="presente arthur"/>
        <s v="futebol sabado"/>
        <s v="futebol domingo"/>
        <s v="carrefour Tv 5/8"/>
        <s v="Painel solar 4/12"/>
        <s v="burguer king"/>
        <s v="padaria"/>
        <s v="dayse10comerciode"/>
        <s v="Puro gas"/>
        <s v="spoleto"/>
        <s v="atacadao"/>
        <s v="auto posto T"/>
        <s v="china in box"/>
        <s v="petz"/>
        <s v="farmacia"/>
        <s v="rede economia"/>
        <s v="top arena"/>
        <s v="cults3d.com"/>
        <s v="katarynedamotta"/>
        <s v="iof"/>
        <s v="hortifruiti"/>
        <s v="nova fruit"/>
        <s v="leandromayer"/>
        <s v="shopee meizitechltda"/>
        <s v="hf studiohair"/>
        <s v="carrefour alcantara"/>
        <s v="pes e patas"/>
        <s v="grupo genius Brasil p"/>
        <s v="affrikagourmet"/>
        <s v="Bardana Natural"/>
        <s v="Superfacil va"/>
        <s v="cassel frutas"/>
        <s v="fabrica de bolos"/>
        <s v="Guanabara"/>
        <s v="sacolao barateiro"/>
        <s v="Publix"/>
        <s v="assai"/>
        <s v="marisa"/>
        <s v="kifesta"/>
        <s v="soldagreste"/>
        <s v="Pastel Amigao"/>
        <s v="mp espetos"/>
        <s v="posto vip caneco Novem"/>
        <s v="Amigao"/>
        <s v="rafirro empadas"/>
        <s v="vlc copias e xerox"/>
        <s v="ponto mix 19 alcantara"/>
        <s v="leandro mayer alfafini 81"/>
        <s v="bolevard sg 417 doceri"/>
        <s v="irene ferreira de jesus"/>
        <s v="luizhenrique"/>
        <s v="aledsondasilvadia"/>
        <s v="pank motos"/>
        <s v="aline"/>
        <m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.0"/>
        <n v="15.0"/>
        <n v="8.0"/>
        <n v="27.0"/>
        <n v="17.0"/>
        <n v="6.0"/>
        <n v="9.0"/>
        <n v="13.0"/>
        <n v="18.0"/>
        <n v="20.0"/>
        <n v="26.0"/>
        <n v="19.0"/>
        <n v="28.0"/>
        <n v="0.0"/>
        <n v="1.0"/>
        <n v="3.0"/>
        <n v="4.0"/>
        <n v="7.0"/>
        <n v="10.0"/>
        <n v="12.0"/>
        <n v="21.0"/>
        <n v="22.0"/>
        <n v="23.0"/>
        <n v="24.0"/>
        <n v="29.0"/>
      </sharedItems>
    </cacheField>
    <cacheField name="valor" numFmtId="166">
      <sharedItems containsSemiMixedTypes="0" containsString="0" containsNumber="1">
        <n v="789.0"/>
        <n v="685.78"/>
        <n v="140.0"/>
        <n v="356.67"/>
        <n v="132.76"/>
        <n v="99.9"/>
        <n v="19.95"/>
        <n v="0.0"/>
        <n v="166.0"/>
        <n v="24.9"/>
        <n v="44.9"/>
        <n v="244.12"/>
        <n v="229.8"/>
        <n v="20.0"/>
        <n v="5.0"/>
        <n v="10.0"/>
        <n v="9.0"/>
        <n v="6.2"/>
        <n v="30.0"/>
        <n v="380.12"/>
        <n v="3.06"/>
        <n v="4.0"/>
        <n v="4.8"/>
        <n v="60.0"/>
        <n v="133.0"/>
        <n v="51.93"/>
        <n v="114.62"/>
        <n v="309.28"/>
        <n v="15.0"/>
        <n v="65.0"/>
        <n v="328.55"/>
        <n v="777.56"/>
        <n v="69.8"/>
        <n v="10.2"/>
        <n v="40.0"/>
        <n v="56.8"/>
        <n v="74.65"/>
        <n v="65.03"/>
        <n v="74.16"/>
        <n v="461.53"/>
        <n v="49.98"/>
        <n v="15.97"/>
        <n v="9.84"/>
        <n v="24.0"/>
        <n v="0.34"/>
        <n v="27.75"/>
        <n v="23.48"/>
        <n v="70.0"/>
        <n v="4.4"/>
        <n v="60.9"/>
        <n v="280.89"/>
        <n v="199.52"/>
        <n v="103.9"/>
        <n v="49.54"/>
        <n v="85.0"/>
        <n v="10.9"/>
        <n v="138.27"/>
        <n v="14.98"/>
        <n v="20.55"/>
        <n v="50.0"/>
        <n v="38.0"/>
        <n v="158.35"/>
        <n v="14.29"/>
        <n v="11.98"/>
        <n v="343.96"/>
        <n v="114.98"/>
        <n v="7.95"/>
        <n v="32.0"/>
        <n v="25.0"/>
        <n v="9.99"/>
        <n v="21.5"/>
        <n v="78.0"/>
        <n v="3.0"/>
        <n v="49.99"/>
        <n v="36.0"/>
        <n v="154.14"/>
        <n v="5.5"/>
        <n v="68.0"/>
        <n v="229.48"/>
        <n v="71.91"/>
        <n v="70.2"/>
        <n v="45.0"/>
        <n v="200.0"/>
        <n v="500.0"/>
        <n v="228.16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" sheet="jun25"/>
  </cacheSource>
  <cacheFields>
    <cacheField name="ma" numFmtId="0">
      <sharedItems containsBlank="1"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estacionamento"/>
        <s v="JoseLuiz lopes"/>
        <s v="parafusos"/>
        <s v="Ecoponto pedagio"/>
        <s v="Recarga claro"/>
        <s v="Recarga TIm Aline"/>
        <s v="Diaval treinamento de 09/06"/>
        <s v="Casa valentim"/>
        <s v="Junior e evelyn doce"/>
        <s v="fernado esteves 17/06"/>
        <s v="Jose luiz lopes de Ar 19/06"/>
        <s v="Atlas sa"/>
        <s v="tapete higienico"/>
        <s v="mercado livre"/>
        <s v="presente arthur"/>
        <s v="futebol sabado"/>
        <s v="futebol domingo"/>
        <s v="carrefour Tv 5/8"/>
        <s v="Painel solar 4/12"/>
        <s v="burguer king"/>
        <s v="padaria"/>
        <s v="dayse10comerciode"/>
        <s v="Puro gas"/>
        <s v="spoleto"/>
        <s v="atacadao"/>
        <s v="auto posto T"/>
        <s v="china in box"/>
        <s v="petz"/>
        <s v="farmacia"/>
        <s v="rede economia"/>
        <s v="top arena"/>
        <s v="cults3d.com"/>
        <s v="katarynedamotta"/>
        <s v="iof"/>
        <s v="hortifruiti"/>
        <s v="nova fruit"/>
        <s v="leandromayer"/>
        <s v="shopee meizitechltda"/>
        <s v="hf studiohair"/>
        <s v="carrefour alcantara"/>
        <s v="pes e patas"/>
        <s v="grupo genius Brasil p"/>
        <s v="affrikagourmet"/>
        <s v="Bardana Natural"/>
        <s v="Superfacil va"/>
        <s v="cassel frutas"/>
        <s v="fabrica de bolos"/>
        <s v="Guanabara"/>
        <s v="sacolao barateiro"/>
        <s v="Publix"/>
        <s v="assai"/>
        <s v="marisa"/>
        <s v="kifesta"/>
        <s v="soldagreste"/>
        <s v="Pastel Amigao"/>
        <s v="mp espetos"/>
        <s v="posto vip caneco Novem"/>
        <s v="Amigao"/>
        <s v="rafirro empadas"/>
        <s v="vlc copias e xerox"/>
        <s v="ponto mix 19 alcantara"/>
        <s v="leandro mayer alfafini 81"/>
        <s v="bolevard sg 417 doceri"/>
        <s v="irene ferreira de jesus"/>
        <s v="luizhenrique"/>
        <s v="aledsondasilvadia"/>
        <s v="pank motos"/>
        <s v="aline"/>
        <m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.0"/>
        <n v="15.0"/>
        <n v="8.0"/>
        <n v="27.0"/>
        <n v="17.0"/>
        <n v="6.0"/>
        <n v="9.0"/>
        <n v="13.0"/>
        <n v="18.0"/>
        <n v="20.0"/>
        <n v="26.0"/>
        <n v="19.0"/>
        <n v="28.0"/>
        <n v="0.0"/>
        <n v="1.0"/>
        <n v="3.0"/>
        <n v="4.0"/>
        <n v="7.0"/>
        <n v="10.0"/>
        <n v="12.0"/>
        <n v="21.0"/>
        <n v="22.0"/>
        <n v="23.0"/>
        <n v="24.0"/>
        <n v="29.0"/>
      </sharedItems>
    </cacheField>
    <cacheField name="valor" numFmtId="166">
      <sharedItems containsSemiMixedTypes="0" containsString="0" containsNumber="1">
        <n v="789.0"/>
        <n v="685.78"/>
        <n v="140.0"/>
        <n v="356.67"/>
        <n v="132.76"/>
        <n v="99.9"/>
        <n v="19.95"/>
        <n v="0.0"/>
        <n v="166.0"/>
        <n v="24.9"/>
        <n v="44.9"/>
        <n v="244.12"/>
        <n v="229.8"/>
        <n v="20.0"/>
        <n v="5.0"/>
        <n v="10.0"/>
        <n v="9.0"/>
        <n v="6.2"/>
        <n v="30.0"/>
        <n v="380.12"/>
        <n v="3.06"/>
        <n v="4.0"/>
        <n v="4.8"/>
        <n v="60.0"/>
        <n v="133.0"/>
        <n v="51.93"/>
        <n v="114.62"/>
        <n v="309.28"/>
        <n v="15.0"/>
        <n v="65.0"/>
        <n v="328.55"/>
        <n v="777.56"/>
        <n v="69.8"/>
        <n v="10.2"/>
        <n v="40.0"/>
        <n v="56.8"/>
        <n v="74.65"/>
        <n v="65.03"/>
        <n v="74.16"/>
        <n v="461.53"/>
        <n v="49.98"/>
        <n v="15.97"/>
        <n v="9.84"/>
        <n v="24.0"/>
        <n v="0.34"/>
        <n v="27.75"/>
        <n v="23.48"/>
        <n v="70.0"/>
        <n v="4.4"/>
        <n v="60.9"/>
        <n v="280.89"/>
        <n v="199.52"/>
        <n v="103.9"/>
        <n v="49.54"/>
        <n v="85.0"/>
        <n v="10.9"/>
        <n v="138.27"/>
        <n v="14.98"/>
        <n v="20.55"/>
        <n v="50.0"/>
        <n v="38.0"/>
        <n v="158.35"/>
        <n v="14.29"/>
        <n v="11.98"/>
        <n v="343.96"/>
        <n v="114.98"/>
        <n v="7.95"/>
        <n v="32.0"/>
        <n v="25.0"/>
        <n v="9.99"/>
        <n v="21.5"/>
        <n v="78.0"/>
        <n v="3.0"/>
        <n v="49.99"/>
        <n v="36.0"/>
        <n v="154.14"/>
        <n v="5.5"/>
        <n v="68.0"/>
        <n v="229.48"/>
        <n v="71.91"/>
        <n v="70.2"/>
        <n v="45.0"/>
        <n v="200.0"/>
        <n v="500.0"/>
        <n v="228.16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estacionamentos"/>
        <s v="outros"/>
        <s v="projetos"/>
        <s v="mercado"/>
        <s v="Lazer"/>
        <s v="Pet"/>
        <s v="gift"/>
        <s v="reforma casa"/>
        <s v="painel solar"/>
        <s v="Padaria"/>
        <s v="Feira"/>
        <s v="combustivel"/>
        <s v="farmacia"/>
        <s v="Cabeleireiro"/>
        <s v="Vestuario"/>
        <s v="utilizades domesticas"/>
        <s v="pix aline"/>
        <s v="manutencao veicular"/>
      </sharedItems>
    </cacheField>
  </cacheFields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8" sheet="mai25"/>
  </cacheSource>
  <cacheFields>
    <cacheField name="ma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LGM DISTRIBUIDORA E CO"/>
        <s v="ATACADAO 0202 AS"/>
        <s v="ATACADAO 0681 AS"/>
        <s v="LOJAS AMERICANAS 5228"/>
        <s v="CARREFOUR - ALCANTARA"/>
        <s v="PADARIA DELICIA DE ITA"/>
        <s v="CONVEM SAO GONCALO RES"/>
        <s v="GUANABARA ALCANTARA"/>
        <s v="filamentos"/>
        <s v="CARREFOUR COM 3/8"/>
        <s v="MP*OUROLUXSOLAR 2/12"/>
        <s v="Tapete higienico Mercado livre"/>
        <s v="estacionamento"/>
        <s v="recarga Aline"/>
        <s v="Poda de arvore(cristiano)"/>
        <s v="telha oberdan"/>
        <s v="o boticario"/>
        <s v="cacula"/>
        <s v="Drogaria tamoio"/>
        <s v="Objetiva"/>
        <s v="auto posto"/>
        <s v="katarynedamotta"/>
        <s v="grupo gennius brasil p"/>
        <s v="Assai atacadista"/>
        <s v="veganfit"/>
        <s v="chic farma"/>
        <s v="cia do doce"/>
        <s v="Personal Aline"/>
        <s v="Futebol Domingo"/>
        <s v="padaria"/>
        <s v="burger king"/>
        <s v="drogaria uniao"/>
        <s v="leroy merlin"/>
        <s v="cassel frutas"/>
        <s v="Atacadao"/>
        <s v="leandromayer"/>
        <s v="Casa novo alcantara"/>
        <s v="carrefour"/>
        <s v="Posto carrefour"/>
        <s v="petz"/>
        <s v="hoverboard"/>
        <s v="rocketseat"/>
        <s v="Unique ingles"/>
        <s v="3d prime"/>
        <s v="aliexpress"/>
        <s v="alipay"/>
        <s v="cartao de memoria"/>
        <s v="lanche"/>
        <s v="ecopay"/>
        <s v="recarga arthur"/>
        <s v="shoppe"/>
        <s v="detran"/>
        <s v="makineta"/>
        <s v="supermercado guanabara"/>
        <s v="leandro mayer alfafini 81"/>
        <s v="anapaulafrancisco"/>
        <s v="amigao"/>
        <s v="kalunga"/>
        <s v="cobasi"/>
        <s v="farmacia"/>
        <s v="posto vip caneco noven"/>
        <s v="brownie"/>
        <s v="caneco 90 posto"/>
        <s v="supermercado inter"/>
        <s v="jvn tecnologia"/>
        <s v="douglas da conceicao"/>
        <s v="Aline"/>
      </sharedItems>
    </cacheField>
    <cacheField name="dia" numFmtId="0">
      <sharedItems containsSemiMixedTypes="0" containsString="0" containsNumber="1" containsInteger="1">
        <n v="5.0"/>
        <n v="14.0"/>
        <n v="11.0"/>
        <n v="20.0"/>
        <n v="30.0"/>
        <n v="16.0"/>
        <n v="29.0"/>
        <n v="2.0"/>
        <n v="15.0"/>
        <n v="8.0"/>
        <n v="27.0"/>
        <n v="10.0"/>
        <n v="0.0"/>
        <n v="7.0"/>
        <n v="9.0"/>
        <n v="12.0"/>
        <n v="3.0"/>
        <n v="4.0"/>
        <n v="13.0"/>
        <n v="17.0"/>
        <n v="18.0"/>
        <n v="19.0"/>
        <n v="6.0"/>
        <n v="21.0"/>
        <n v="23.0"/>
        <n v="24.0"/>
        <n v="25.0"/>
        <n v="26.0"/>
      </sharedItems>
    </cacheField>
    <cacheField name="valor" numFmtId="166">
      <sharedItems containsSemiMixedTypes="0" containsString="0" containsNumber="1">
        <n v="789.0"/>
        <n v="685.0"/>
        <n v="140.0"/>
        <n v="0.0"/>
        <n v="132.55"/>
        <n v="88.0"/>
        <n v="19.95"/>
        <n v="24.9"/>
        <n v="44.9"/>
        <n v="244.12"/>
        <n v="229.8"/>
        <n v="20.0"/>
        <n v="8.0"/>
        <n v="156.63"/>
        <n v="11.4"/>
        <n v="250.28"/>
        <n v="22.98"/>
        <n v="61.4"/>
        <n v="4.0"/>
        <n v="25.9"/>
        <n v="31.9"/>
        <n v="367.0"/>
        <n v="328.55"/>
        <n v="777.56"/>
        <n v="51.93"/>
        <n v="5.0"/>
        <n v="30.0"/>
        <n v="400.0"/>
        <n v="75.0"/>
        <n v="63.08"/>
        <n v="19.99"/>
        <n v="34.97"/>
        <n v="22.35"/>
        <n v="99.98"/>
        <n v="9.0"/>
        <n v="57.46"/>
        <n v="24.0"/>
        <n v="49.54"/>
        <n v="28.2"/>
        <n v="76.0"/>
        <n v="3.0"/>
        <n v="47.91"/>
        <n v="28.16"/>
        <n v="47.58"/>
        <n v="52.84"/>
        <n v="500.0"/>
        <n v="60.0"/>
        <n v="69.8"/>
        <n v="16.99"/>
        <n v="8.75"/>
        <n v="64.99"/>
        <n v="31.39"/>
        <n v="188.77"/>
        <n v="48.0"/>
        <n v="26.1"/>
        <n v="124.37"/>
        <n v="199.45"/>
        <n v="50.67"/>
        <n v="191.9"/>
        <n v="175.5"/>
        <n v="230.76"/>
        <n v="2077.0"/>
        <n v="380.12"/>
        <n v="367.65"/>
        <n v="523.18"/>
        <n v="122.25"/>
        <n v="40.92"/>
        <n v="33.0"/>
        <n v="2.99"/>
        <n v="6.2"/>
        <n v="433.98"/>
        <n v="80.38"/>
        <n v="55.62"/>
        <n v="13.99"/>
        <n v="185.38"/>
        <n v="42.0"/>
        <n v="16.0"/>
        <n v="140.63"/>
        <n v="55.24"/>
        <n v="27.96"/>
        <n v="39.77"/>
        <n v="4.9"/>
        <n v="224.78"/>
        <n v="29.58"/>
        <n v="87.12"/>
        <n v="50.0"/>
        <n v="10.0"/>
        <n v="2.87"/>
        <n v="100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8" sheet="mai25"/>
  </cacheSource>
  <cacheFields>
    <cacheField name="ma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LGM DISTRIBUIDORA E CO"/>
        <s v="ATACADAO 0202 AS"/>
        <s v="ATACADAO 0681 AS"/>
        <s v="LOJAS AMERICANAS 5228"/>
        <s v="CARREFOUR - ALCANTARA"/>
        <s v="PADARIA DELICIA DE ITA"/>
        <s v="CONVEM SAO GONCALO RES"/>
        <s v="GUANABARA ALCANTARA"/>
        <s v="filamentos"/>
        <s v="CARREFOUR COM 3/8"/>
        <s v="MP*OUROLUXSOLAR 2/12"/>
        <s v="Tapete higienico Mercado livre"/>
        <s v="estacionamento"/>
        <s v="recarga Aline"/>
        <s v="Poda de arvore(cristiano)"/>
        <s v="telha oberdan"/>
        <s v="o boticario"/>
        <s v="cacula"/>
        <s v="Drogaria tamoio"/>
        <s v="Objetiva"/>
        <s v="auto posto"/>
        <s v="katarynedamotta"/>
        <s v="grupo gennius brasil p"/>
        <s v="Assai atacadista"/>
        <s v="veganfit"/>
        <s v="chic farma"/>
        <s v="cia do doce"/>
        <s v="Personal Aline"/>
        <s v="Futebol Domingo"/>
        <s v="padaria"/>
        <s v="burger king"/>
        <s v="drogaria uniao"/>
        <s v="leroy merlin"/>
        <s v="cassel frutas"/>
        <s v="Atacadao"/>
        <s v="leandromayer"/>
        <s v="Casa novo alcantara"/>
        <s v="carrefour"/>
        <s v="Posto carrefour"/>
        <s v="petz"/>
        <s v="hoverboard"/>
        <s v="rocketseat"/>
        <s v="Unique ingles"/>
        <s v="3d prime"/>
        <s v="aliexpress"/>
        <s v="alipay"/>
        <s v="cartao de memoria"/>
        <s v="lanche"/>
        <s v="ecopay"/>
        <s v="recarga arthur"/>
        <s v="shoppe"/>
        <s v="detran"/>
        <s v="makineta"/>
        <s v="supermercado guanabara"/>
        <s v="leandro mayer alfafini 81"/>
        <s v="anapaulafrancisco"/>
        <s v="amigao"/>
        <s v="kalunga"/>
        <s v="cobasi"/>
        <s v="farmacia"/>
        <s v="posto vip caneco noven"/>
        <s v="brownie"/>
        <s v="caneco 90 posto"/>
        <s v="supermercado inter"/>
        <s v="jvn tecnologia"/>
        <s v="douglas da conceicao"/>
        <s v="Aline"/>
      </sharedItems>
    </cacheField>
    <cacheField name="dia" numFmtId="0">
      <sharedItems containsSemiMixedTypes="0" containsString="0" containsNumber="1" containsInteger="1">
        <n v="5.0"/>
        <n v="14.0"/>
        <n v="11.0"/>
        <n v="20.0"/>
        <n v="30.0"/>
        <n v="16.0"/>
        <n v="29.0"/>
        <n v="2.0"/>
        <n v="15.0"/>
        <n v="8.0"/>
        <n v="27.0"/>
        <n v="10.0"/>
        <n v="0.0"/>
        <n v="7.0"/>
        <n v="9.0"/>
        <n v="12.0"/>
        <n v="3.0"/>
        <n v="4.0"/>
        <n v="13.0"/>
        <n v="17.0"/>
        <n v="18.0"/>
        <n v="19.0"/>
        <n v="6.0"/>
        <n v="21.0"/>
        <n v="23.0"/>
        <n v="24.0"/>
        <n v="25.0"/>
        <n v="26.0"/>
      </sharedItems>
    </cacheField>
    <cacheField name="valor" numFmtId="166">
      <sharedItems containsSemiMixedTypes="0" containsString="0" containsNumber="1">
        <n v="789.0"/>
        <n v="685.0"/>
        <n v="140.0"/>
        <n v="0.0"/>
        <n v="132.55"/>
        <n v="88.0"/>
        <n v="19.95"/>
        <n v="24.9"/>
        <n v="44.9"/>
        <n v="244.12"/>
        <n v="229.8"/>
        <n v="20.0"/>
        <n v="8.0"/>
        <n v="156.63"/>
        <n v="11.4"/>
        <n v="250.28"/>
        <n v="22.98"/>
        <n v="61.4"/>
        <n v="4.0"/>
        <n v="25.9"/>
        <n v="31.9"/>
        <n v="367.0"/>
        <n v="328.55"/>
        <n v="777.56"/>
        <n v="51.93"/>
        <n v="5.0"/>
        <n v="30.0"/>
        <n v="400.0"/>
        <n v="75.0"/>
        <n v="63.08"/>
        <n v="19.99"/>
        <n v="34.97"/>
        <n v="22.35"/>
        <n v="99.98"/>
        <n v="9.0"/>
        <n v="57.46"/>
        <n v="24.0"/>
        <n v="49.54"/>
        <n v="28.2"/>
        <n v="76.0"/>
        <n v="3.0"/>
        <n v="47.91"/>
        <n v="28.16"/>
        <n v="47.58"/>
        <n v="52.84"/>
        <n v="500.0"/>
        <n v="60.0"/>
        <n v="69.8"/>
        <n v="16.99"/>
        <n v="8.75"/>
        <n v="64.99"/>
        <n v="31.39"/>
        <n v="188.77"/>
        <n v="48.0"/>
        <n v="26.1"/>
        <n v="124.37"/>
        <n v="199.45"/>
        <n v="50.67"/>
        <n v="191.9"/>
        <n v="175.5"/>
        <n v="230.76"/>
        <n v="2077.0"/>
        <n v="380.12"/>
        <n v="367.65"/>
        <n v="523.18"/>
        <n v="122.25"/>
        <n v="40.92"/>
        <n v="33.0"/>
        <n v="2.99"/>
        <n v="6.2"/>
        <n v="433.98"/>
        <n v="80.38"/>
        <n v="55.62"/>
        <n v="13.99"/>
        <n v="185.38"/>
        <n v="42.0"/>
        <n v="16.0"/>
        <n v="140.63"/>
        <n v="55.24"/>
        <n v="27.96"/>
        <n v="39.77"/>
        <n v="4.9"/>
        <n v="224.78"/>
        <n v="29.58"/>
        <n v="87.12"/>
        <n v="50.0"/>
        <n v="10.0"/>
        <n v="2.87"/>
        <n v="100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8" sheet="mai25"/>
  </cacheSource>
  <cacheFields>
    <cacheField name="ma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LGM DISTRIBUIDORA E CO"/>
        <s v="ATACADAO 0202 AS"/>
        <s v="ATACADAO 0681 AS"/>
        <s v="LOJAS AMERICANAS 5228"/>
        <s v="CARREFOUR - ALCANTARA"/>
        <s v="PADARIA DELICIA DE ITA"/>
        <s v="CONVEM SAO GONCALO RES"/>
        <s v="GUANABARA ALCANTARA"/>
        <s v="filamentos"/>
        <s v="CARREFOUR COM 3/8"/>
        <s v="MP*OUROLUXSOLAR 2/12"/>
        <s v="Tapete higienico Mercado livre"/>
        <s v="estacionamento"/>
        <s v="recarga Aline"/>
        <s v="Poda de arvore(cristiano)"/>
        <s v="telha oberdan"/>
        <s v="o boticario"/>
        <s v="cacula"/>
        <s v="Drogaria tamoio"/>
        <s v="Objetiva"/>
        <s v="auto posto"/>
        <s v="katarynedamotta"/>
        <s v="grupo gennius brasil p"/>
        <s v="Assai atacadista"/>
        <s v="veganfit"/>
        <s v="chic farma"/>
        <s v="cia do doce"/>
        <s v="Personal Aline"/>
        <s v="Futebol Domingo"/>
        <s v="padaria"/>
        <s v="burger king"/>
        <s v="drogaria uniao"/>
        <s v="leroy merlin"/>
        <s v="cassel frutas"/>
        <s v="Atacadao"/>
        <s v="leandromayer"/>
        <s v="Casa novo alcantara"/>
        <s v="carrefour"/>
        <s v="Posto carrefour"/>
        <s v="petz"/>
        <s v="hoverboard"/>
        <s v="rocketseat"/>
        <s v="Unique ingles"/>
        <s v="3d prime"/>
        <s v="aliexpress"/>
        <s v="alipay"/>
        <s v="cartao de memoria"/>
        <s v="lanche"/>
        <s v="ecopay"/>
        <s v="recarga arthur"/>
        <s v="shoppe"/>
        <s v="detran"/>
        <s v="makineta"/>
        <s v="supermercado guanabara"/>
        <s v="leandro mayer alfafini 81"/>
        <s v="anapaulafrancisco"/>
        <s v="amigao"/>
        <s v="kalunga"/>
        <s v="cobasi"/>
        <s v="farmacia"/>
        <s v="posto vip caneco noven"/>
        <s v="brownie"/>
        <s v="caneco 90 posto"/>
        <s v="supermercado inter"/>
        <s v="jvn tecnologia"/>
        <s v="douglas da conceicao"/>
        <s v="Aline"/>
      </sharedItems>
    </cacheField>
    <cacheField name="dia" numFmtId="0">
      <sharedItems containsSemiMixedTypes="0" containsString="0" containsNumber="1" containsInteger="1">
        <n v="5.0"/>
        <n v="14.0"/>
        <n v="11.0"/>
        <n v="20.0"/>
        <n v="30.0"/>
        <n v="16.0"/>
        <n v="29.0"/>
        <n v="2.0"/>
        <n v="15.0"/>
        <n v="8.0"/>
        <n v="27.0"/>
        <n v="10.0"/>
        <n v="0.0"/>
        <n v="7.0"/>
        <n v="9.0"/>
        <n v="12.0"/>
        <n v="3.0"/>
        <n v="4.0"/>
        <n v="13.0"/>
        <n v="17.0"/>
        <n v="18.0"/>
        <n v="19.0"/>
        <n v="6.0"/>
        <n v="21.0"/>
        <n v="23.0"/>
        <n v="24.0"/>
        <n v="25.0"/>
        <n v="26.0"/>
      </sharedItems>
    </cacheField>
    <cacheField name="valor" numFmtId="166">
      <sharedItems containsSemiMixedTypes="0" containsString="0" containsNumber="1">
        <n v="789.0"/>
        <n v="685.0"/>
        <n v="140.0"/>
        <n v="0.0"/>
        <n v="132.55"/>
        <n v="88.0"/>
        <n v="19.95"/>
        <n v="24.9"/>
        <n v="44.9"/>
        <n v="244.12"/>
        <n v="229.8"/>
        <n v="20.0"/>
        <n v="8.0"/>
        <n v="156.63"/>
        <n v="11.4"/>
        <n v="250.28"/>
        <n v="22.98"/>
        <n v="61.4"/>
        <n v="4.0"/>
        <n v="25.9"/>
        <n v="31.9"/>
        <n v="367.0"/>
        <n v="328.55"/>
        <n v="777.56"/>
        <n v="51.93"/>
        <n v="5.0"/>
        <n v="30.0"/>
        <n v="400.0"/>
        <n v="75.0"/>
        <n v="63.08"/>
        <n v="19.99"/>
        <n v="34.97"/>
        <n v="22.35"/>
        <n v="99.98"/>
        <n v="9.0"/>
        <n v="57.46"/>
        <n v="24.0"/>
        <n v="49.54"/>
        <n v="28.2"/>
        <n v="76.0"/>
        <n v="3.0"/>
        <n v="47.91"/>
        <n v="28.16"/>
        <n v="47.58"/>
        <n v="52.84"/>
        <n v="500.0"/>
        <n v="60.0"/>
        <n v="69.8"/>
        <n v="16.99"/>
        <n v="8.75"/>
        <n v="64.99"/>
        <n v="31.39"/>
        <n v="188.77"/>
        <n v="48.0"/>
        <n v="26.1"/>
        <n v="124.37"/>
        <n v="199.45"/>
        <n v="50.67"/>
        <n v="191.9"/>
        <n v="175.5"/>
        <n v="230.76"/>
        <n v="2077.0"/>
        <n v="380.12"/>
        <n v="367.65"/>
        <n v="523.18"/>
        <n v="122.25"/>
        <n v="40.92"/>
        <n v="33.0"/>
        <n v="2.99"/>
        <n v="6.2"/>
        <n v="433.98"/>
        <n v="80.38"/>
        <n v="55.62"/>
        <n v="13.99"/>
        <n v="185.38"/>
        <n v="42.0"/>
        <n v="16.0"/>
        <n v="140.63"/>
        <n v="55.24"/>
        <n v="27.96"/>
        <n v="39.77"/>
        <n v="4.9"/>
        <n v="224.78"/>
        <n v="29.58"/>
        <n v="87.12"/>
        <n v="50.0"/>
        <n v="10.0"/>
        <n v="2.87"/>
        <n v="100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Padaria"/>
        <s v="mercado"/>
        <s v="outros"/>
        <s v="projetos"/>
        <s v="reforma casa"/>
        <s v="painel solar"/>
        <s v="Pet"/>
        <s v="estacionamentos"/>
        <s v="gift"/>
        <s v="material escolar"/>
        <s v="Lazer"/>
        <s v="farmacia"/>
        <s v="Vestuario"/>
        <s v="combustivel"/>
        <s v="Feira"/>
        <s v="Manutenção casa"/>
        <s v="manutencao veiculo"/>
        <s v="utilizades domesticas"/>
        <s v="pix aline"/>
      </sharedItems>
    </cacheField>
  </cacheFields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" sheet="abr25"/>
  </cacheSource>
  <cacheFields>
    <cacheField name="Descrição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Renan"/>
        <s v="Brownie"/>
        <s v="Pix Fernando"/>
        <s v="GrupoTudoDeVet"/>
        <s v="Pix Aline"/>
        <s v="Recarga"/>
        <s v="Pix Aliexpress"/>
        <s v="Pix Hebert"/>
        <s v="Pix AnaPaula"/>
        <s v="Top Arena"/>
        <s v="Box Athena"/>
        <s v="Sefaz"/>
        <s v="GoldenFruit"/>
        <s v="Pix Petcenter"/>
        <s v="Detran RJ"/>
        <s v="Diego Futebol sab"/>
        <s v="Pix cueca"/>
        <s v="Philippe"/>
        <s v="CARREFOUR COM 3/8"/>
        <s v="DECATHLON 2/2"/>
        <s v="MP*OUROLUXSOLAR 2/12"/>
        <s v="AUTO POSTO T "/>
        <s v="BURGER KING "/>
        <s v="ASSAI ATACADISTA  LJ35"/>
        <s v="LEANDRO MAYER ALTAFINI 81"/>
        <s v="AUTO POSTO T"/>
        <s v="SACOLAO DO BARATEIRO"/>
        <s v="HORTIFRUTI MARQUES DE"/>
        <s v="ATACADAO 0681 AS"/>
        <s v="PETZ CARREFOUR MANILHA"/>
        <s v="LGM DISTRIBUIDORA E CO"/>
        <s v="SUPERMERCADO GUANABARA"/>
        <s v="LOJAS AMERICANAS 87"/>
        <s v="BURGER KING"/>
        <s v="CACULA SAO GONCALO"/>
        <s v="ASSAI ATACADISTA  LJ26"/>
        <s v="O BOTICARIO"/>
        <s v="PADARIA DELICIA DE ITA"/>
        <s v="PUBLIX GENEROS ALIMENT"/>
        <s v="CP *AMIGAO 26 SH S GON"/>
        <s v="CASSEL FRUTAS"/>
        <s v="CASAS PEDRO"/>
        <s v="MATCON MAT CONSTRUCAO"/>
        <s v="KataryneDaMotta"/>
        <s v="PURO GAS"/>
        <s v="PETZ DIGITAL"/>
        <s v="FARMACIA APOLO X"/>
        <s v="DoceEnergia"/>
        <s v="BELLA FLOR PANIFICACAO"/>
        <s v="DROGARIA FARMELHOR"/>
        <s v="DROGARIAS PACHECO"/>
        <s v="LOJAS AMERICANAS 5228"/>
        <s v="POSTO VIP CANECO NOVEN"/>
        <s v="NOVA FRUTI"/>
        <s v="ATACADAO 0202 AS"/>
        <s v="Petz"/>
        <s v="Cobasi"/>
        <s v="MercadoLivre"/>
        <s v="Futebol"/>
      </sharedItems>
    </cacheField>
    <cacheField name="dia" numFmtId="0">
      <sharedItems containsSemiMixedTypes="0" containsString="0" containsNumber="1" containsInteger="1">
        <n v="5.0"/>
        <n v="14.0"/>
        <n v="11.0"/>
        <n v="20.0"/>
        <n v="30.0"/>
        <n v="16.0"/>
        <n v="29.0"/>
        <n v="2.0"/>
        <n v="15.0"/>
        <n v="8.0"/>
        <n v="27.0"/>
        <n v="10.0"/>
        <n v="1.0"/>
        <n v="3.0"/>
        <n v="4.0"/>
        <n v="7.0"/>
        <n v="22.0"/>
        <n v="24.0"/>
        <n v="28.0"/>
        <n v="0.0"/>
        <n v="23.0"/>
        <n v="19.0"/>
        <n v="17.0"/>
        <n v="13.0"/>
        <n v="12.0"/>
        <n v="9.0"/>
        <n v="6.0"/>
      </sharedItems>
    </cacheField>
    <cacheField name="valor" numFmtId="166">
      <sharedItems containsSemiMixedTypes="0" containsString="0" containsNumber="1">
        <n v="789.0"/>
        <n v="685.0"/>
        <n v="140.0"/>
        <n v="600.0"/>
        <n v="132.5"/>
        <n v="99.9"/>
        <n v="19.95"/>
        <n v="0.0"/>
        <n v="24.9"/>
        <n v="44.9"/>
        <n v="244.12"/>
        <n v="229.8"/>
        <n v="20.0"/>
        <n v="58.0"/>
        <n v="10.0"/>
        <n v="8.0"/>
        <n v="103.9"/>
        <n v="150.0"/>
        <n v="30.0"/>
        <n v="132.94"/>
        <n v="327.03"/>
        <n v="3.0"/>
        <n v="21.0"/>
        <n v="208.46"/>
        <n v="3.74"/>
        <n v="17.99"/>
        <n v="281.29"/>
        <n v="15.0"/>
        <n v="90.0"/>
        <n v="-730.0"/>
        <n v="328.55"/>
        <n v="149.97"/>
        <n v="777.56"/>
        <n v="53.75"/>
        <n v="65.8"/>
        <n v="115.28"/>
        <n v="60.0"/>
        <n v="49.68"/>
        <n v="27.8"/>
        <n v="26.98"/>
        <n v="37.68"/>
        <n v="50.37"/>
        <n v="26.37"/>
        <n v="12.4"/>
        <n v="251.72"/>
        <n v="48.33"/>
        <n v="148.86"/>
        <n v="68.3"/>
        <n v="111.92"/>
        <n v="237.07"/>
        <n v="65.72"/>
        <n v="47.2"/>
        <n v="15.96"/>
        <n v="4.0"/>
        <n v="8.96"/>
        <n v="68.95"/>
        <n v="23.11"/>
        <n v="171.78"/>
        <n v="61.67"/>
        <n v="109.0"/>
        <n v="60.33"/>
        <n v="24.0"/>
        <n v="7.0"/>
        <n v="14.6"/>
        <n v="42.0"/>
        <n v="40.0"/>
        <n v="461.53"/>
        <n v="84.87"/>
        <n v="9.5"/>
        <n v="6.83"/>
        <n v="40.49"/>
        <n v="45.98"/>
        <n v="20.98"/>
        <n v="37.0"/>
        <n v="50.0"/>
        <n v="57.42"/>
        <n v="34.31"/>
        <n v="93.24"/>
        <n v="131.94"/>
        <n v="6.5"/>
        <n v="304.11"/>
        <n v="386.37"/>
        <n v="136.37"/>
        <n v="18.9"/>
        <n v="624.61"/>
        <n v="65.0"/>
        <n v="500.0"/>
        <n v="100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  <s v="Pix Bradesco cc"/>
        <s v="pague facil"/>
        <s v="Bradesco Visa Electron"/>
        <s v="pix Nubank"/>
        <s v="Pix Santander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" sheet="abr25"/>
  </cacheSource>
  <cacheFields>
    <cacheField name="Descrição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Renan"/>
        <s v="Brownie"/>
        <s v="Pix Fernando"/>
        <s v="GrupoTudoDeVet"/>
        <s v="Pix Aline"/>
        <s v="Recarga"/>
        <s v="Pix Aliexpress"/>
        <s v="Pix Hebert"/>
        <s v="Pix AnaPaula"/>
        <s v="Top Arena"/>
        <s v="Box Athena"/>
        <s v="Sefaz"/>
        <s v="GoldenFruit"/>
        <s v="Pix Petcenter"/>
        <s v="Detran RJ"/>
        <s v="Diego Futebol sab"/>
        <s v="Pix cueca"/>
        <s v="Philippe"/>
        <s v="CARREFOUR COM 3/8"/>
        <s v="DECATHLON 2/2"/>
        <s v="MP*OUROLUXSOLAR 2/12"/>
        <s v="AUTO POSTO T "/>
        <s v="BURGER KING "/>
        <s v="ASSAI ATACADISTA  LJ35"/>
        <s v="LEANDRO MAYER ALTAFINI 81"/>
        <s v="AUTO POSTO T"/>
        <s v="SACOLAO DO BARATEIRO"/>
        <s v="HORTIFRUTI MARQUES DE"/>
        <s v="ATACADAO 0681 AS"/>
        <s v="PETZ CARREFOUR MANILHA"/>
        <s v="LGM DISTRIBUIDORA E CO"/>
        <s v="SUPERMERCADO GUANABARA"/>
        <s v="LOJAS AMERICANAS 87"/>
        <s v="BURGER KING"/>
        <s v="CACULA SAO GONCALO"/>
        <s v="ASSAI ATACADISTA  LJ26"/>
        <s v="O BOTICARIO"/>
        <s v="PADARIA DELICIA DE ITA"/>
        <s v="PUBLIX GENEROS ALIMENT"/>
        <s v="CP *AMIGAO 26 SH S GON"/>
        <s v="CASSEL FRUTAS"/>
        <s v="CASAS PEDRO"/>
        <s v="MATCON MAT CONSTRUCAO"/>
        <s v="KataryneDaMotta"/>
        <s v="PURO GAS"/>
        <s v="PETZ DIGITAL"/>
        <s v="FARMACIA APOLO X"/>
        <s v="DoceEnergia"/>
        <s v="BELLA FLOR PANIFICACAO"/>
        <s v="DROGARIA FARMELHOR"/>
        <s v="DROGARIAS PACHECO"/>
        <s v="LOJAS AMERICANAS 5228"/>
        <s v="POSTO VIP CANECO NOVEN"/>
        <s v="NOVA FRUTI"/>
        <s v="ATACADAO 0202 AS"/>
        <s v="Petz"/>
        <s v="Cobasi"/>
        <s v="MercadoLivre"/>
        <s v="Futebol"/>
      </sharedItems>
    </cacheField>
    <cacheField name="dia" numFmtId="0">
      <sharedItems containsSemiMixedTypes="0" containsString="0" containsNumber="1" containsInteger="1">
        <n v="5.0"/>
        <n v="14.0"/>
        <n v="11.0"/>
        <n v="20.0"/>
        <n v="30.0"/>
        <n v="16.0"/>
        <n v="29.0"/>
        <n v="2.0"/>
        <n v="15.0"/>
        <n v="8.0"/>
        <n v="27.0"/>
        <n v="10.0"/>
        <n v="1.0"/>
        <n v="3.0"/>
        <n v="4.0"/>
        <n v="7.0"/>
        <n v="22.0"/>
        <n v="24.0"/>
        <n v="28.0"/>
        <n v="0.0"/>
        <n v="23.0"/>
        <n v="19.0"/>
        <n v="17.0"/>
        <n v="13.0"/>
        <n v="12.0"/>
        <n v="9.0"/>
        <n v="6.0"/>
      </sharedItems>
    </cacheField>
    <cacheField name="valor" numFmtId="166">
      <sharedItems containsSemiMixedTypes="0" containsString="0" containsNumber="1">
        <n v="789.0"/>
        <n v="685.0"/>
        <n v="140.0"/>
        <n v="600.0"/>
        <n v="132.5"/>
        <n v="99.9"/>
        <n v="19.95"/>
        <n v="0.0"/>
        <n v="24.9"/>
        <n v="44.9"/>
        <n v="244.12"/>
        <n v="229.8"/>
        <n v="20.0"/>
        <n v="58.0"/>
        <n v="10.0"/>
        <n v="8.0"/>
        <n v="103.9"/>
        <n v="150.0"/>
        <n v="30.0"/>
        <n v="132.94"/>
        <n v="327.03"/>
        <n v="3.0"/>
        <n v="21.0"/>
        <n v="208.46"/>
        <n v="3.74"/>
        <n v="17.99"/>
        <n v="281.29"/>
        <n v="15.0"/>
        <n v="90.0"/>
        <n v="-730.0"/>
        <n v="328.55"/>
        <n v="149.97"/>
        <n v="777.56"/>
        <n v="53.75"/>
        <n v="65.8"/>
        <n v="115.28"/>
        <n v="60.0"/>
        <n v="49.68"/>
        <n v="27.8"/>
        <n v="26.98"/>
        <n v="37.68"/>
        <n v="50.37"/>
        <n v="26.37"/>
        <n v="12.4"/>
        <n v="251.72"/>
        <n v="48.33"/>
        <n v="148.86"/>
        <n v="68.3"/>
        <n v="111.92"/>
        <n v="237.07"/>
        <n v="65.72"/>
        <n v="47.2"/>
        <n v="15.96"/>
        <n v="4.0"/>
        <n v="8.96"/>
        <n v="68.95"/>
        <n v="23.11"/>
        <n v="171.78"/>
        <n v="61.67"/>
        <n v="109.0"/>
        <n v="60.33"/>
        <n v="24.0"/>
        <n v="7.0"/>
        <n v="14.6"/>
        <n v="42.0"/>
        <n v="40.0"/>
        <n v="461.53"/>
        <n v="84.87"/>
        <n v="9.5"/>
        <n v="6.83"/>
        <n v="40.49"/>
        <n v="45.98"/>
        <n v="20.98"/>
        <n v="37.0"/>
        <n v="50.0"/>
        <n v="57.42"/>
        <n v="34.31"/>
        <n v="93.24"/>
        <n v="131.94"/>
        <n v="6.5"/>
        <n v="304.11"/>
        <n v="386.37"/>
        <n v="136.37"/>
        <n v="18.9"/>
        <n v="624.61"/>
        <n v="65.0"/>
        <n v="500.0"/>
        <n v="100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  <s v="Pix Bradesco cc"/>
        <s v="pague facil"/>
        <s v="Bradesco Visa Electron"/>
        <s v="pix Nubank"/>
        <s v="Pix Santander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4" sheet="abr25"/>
  </cacheSource>
  <cacheFields>
    <cacheField name="Descrição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Pix Renan"/>
        <s v="Brownie"/>
        <s v="Pix Fernando"/>
        <s v="GrupoTudoDeVet"/>
        <s v="Pix Aline"/>
        <s v="Recarga"/>
        <s v="Pix Aliexpress"/>
        <s v="Pix Hebert"/>
        <s v="Pix AnaPaula"/>
        <s v="Top Arena"/>
        <s v="Box Athena"/>
        <s v="Sefaz"/>
        <s v="GoldenFruit"/>
        <s v="Pix Petcenter"/>
        <s v="Detran RJ"/>
        <s v="Diego Futebol sab"/>
        <s v="Pix cueca"/>
        <s v="Philippe"/>
        <s v="CARREFOUR COM 3/8"/>
        <s v="DECATHLON 2/2"/>
        <s v="MP*OUROLUXSOLAR 2/12"/>
        <s v="AUTO POSTO T "/>
        <s v="BURGER KING "/>
        <s v="ASSAI ATACADISTA  LJ35"/>
        <s v="LEANDRO MAYER ALTAFINI 81"/>
        <s v="AUTO POSTO T"/>
        <s v="SACOLAO DO BARATEIRO"/>
        <s v="HORTIFRUTI MARQUES DE"/>
        <s v="ATACADAO 0681 AS"/>
        <s v="PETZ CARREFOUR MANILHA"/>
        <s v="LGM DISTRIBUIDORA E CO"/>
        <s v="SUPERMERCADO GUANABARA"/>
        <s v="LOJAS AMERICANAS 87"/>
        <s v="BURGER KING"/>
        <s v="CACULA SAO GONCALO"/>
        <s v="ASSAI ATACADISTA  LJ26"/>
        <s v="O BOTICARIO"/>
        <s v="PADARIA DELICIA DE ITA"/>
        <s v="PUBLIX GENEROS ALIMENT"/>
        <s v="CP *AMIGAO 26 SH S GON"/>
        <s v="CASSEL FRUTAS"/>
        <s v="CASAS PEDRO"/>
        <s v="MATCON MAT CONSTRUCAO"/>
        <s v="KataryneDaMotta"/>
        <s v="PURO GAS"/>
        <s v="PETZ DIGITAL"/>
        <s v="FARMACIA APOLO X"/>
        <s v="DoceEnergia"/>
        <s v="BELLA FLOR PANIFICACAO"/>
        <s v="DROGARIA FARMELHOR"/>
        <s v="DROGARIAS PACHECO"/>
        <s v="LOJAS AMERICANAS 5228"/>
        <s v="POSTO VIP CANECO NOVEN"/>
        <s v="NOVA FRUTI"/>
        <s v="ATACADAO 0202 AS"/>
        <s v="Petz"/>
        <s v="Cobasi"/>
        <s v="MercadoLivre"/>
        <s v="Futebol"/>
        <s v="Pix Vaquina"/>
        <s v="Pix ProjetoPainelSolar"/>
      </sharedItems>
    </cacheField>
    <cacheField name="dia" numFmtId="0">
      <sharedItems containsSemiMixedTypes="0" containsString="0" containsNumber="1" containsInteger="1">
        <n v="5.0"/>
        <n v="14.0"/>
        <n v="11.0"/>
        <n v="20.0"/>
        <n v="30.0"/>
        <n v="16.0"/>
        <n v="29.0"/>
        <n v="2.0"/>
        <n v="15.0"/>
        <n v="8.0"/>
        <n v="27.0"/>
        <n v="10.0"/>
        <n v="1.0"/>
        <n v="3.0"/>
        <n v="4.0"/>
        <n v="7.0"/>
        <n v="22.0"/>
        <n v="24.0"/>
        <n v="28.0"/>
        <n v="0.0"/>
        <n v="23.0"/>
        <n v="19.0"/>
        <n v="17.0"/>
        <n v="13.0"/>
        <n v="12.0"/>
        <n v="9.0"/>
        <n v="6.0"/>
      </sharedItems>
    </cacheField>
    <cacheField name="valor" numFmtId="166">
      <sharedItems containsSemiMixedTypes="0" containsString="0" containsNumber="1">
        <n v="789.0"/>
        <n v="685.0"/>
        <n v="140.0"/>
        <n v="600.0"/>
        <n v="132.5"/>
        <n v="99.9"/>
        <n v="19.95"/>
        <n v="0.0"/>
        <n v="24.9"/>
        <n v="44.9"/>
        <n v="244.12"/>
        <n v="229.8"/>
        <n v="20.0"/>
        <n v="58.0"/>
        <n v="10.0"/>
        <n v="8.0"/>
        <n v="103.9"/>
        <n v="150.0"/>
        <n v="30.0"/>
        <n v="132.94"/>
        <n v="327.03"/>
        <n v="3.0"/>
        <n v="21.0"/>
        <n v="208.46"/>
        <n v="3.74"/>
        <n v="17.99"/>
        <n v="281.29"/>
        <n v="15.0"/>
        <n v="90.0"/>
        <n v="-730.0"/>
        <n v="328.55"/>
        <n v="149.97"/>
        <n v="777.56"/>
        <n v="53.75"/>
        <n v="65.8"/>
        <n v="115.28"/>
        <n v="60.0"/>
        <n v="49.68"/>
        <n v="27.8"/>
        <n v="26.98"/>
        <n v="37.68"/>
        <n v="50.37"/>
        <n v="26.37"/>
        <n v="12.4"/>
        <n v="251.72"/>
        <n v="48.33"/>
        <n v="148.86"/>
        <n v="68.3"/>
        <n v="111.92"/>
        <n v="237.07"/>
        <n v="65.72"/>
        <n v="47.2"/>
        <n v="15.96"/>
        <n v="4.0"/>
        <n v="8.96"/>
        <n v="68.95"/>
        <n v="23.11"/>
        <n v="171.78"/>
        <n v="61.67"/>
        <n v="109.0"/>
        <n v="60.33"/>
        <n v="24.0"/>
        <n v="7.0"/>
        <n v="14.6"/>
        <n v="42.0"/>
        <n v="40.0"/>
        <n v="461.53"/>
        <n v="84.87"/>
        <n v="9.5"/>
        <n v="6.83"/>
        <n v="40.49"/>
        <n v="45.98"/>
        <n v="20.98"/>
        <n v="37.0"/>
        <n v="50.0"/>
        <n v="57.42"/>
        <n v="34.31"/>
        <n v="93.24"/>
        <n v="131.94"/>
        <n v="6.5"/>
        <n v="304.11"/>
        <n v="386.37"/>
        <n v="136.37"/>
        <n v="18.9"/>
        <n v="624.61"/>
        <n v="65.0"/>
        <n v="500.0"/>
        <n v="100.0"/>
        <n v="300.0"/>
        <n v="5669.2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  <s v="Pix Bradesco cc"/>
        <s v="pague facil"/>
        <s v="Bradesco Visa Electron"/>
        <s v="pix Nubank"/>
        <s v="Pix Santander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outros"/>
        <s v="Lazer"/>
        <s v="estacionamentos"/>
        <s v="Pet"/>
        <s v="pix aline"/>
        <s v="gift"/>
        <s v="manutencao veicular"/>
        <s v="Feira"/>
        <s v="Vestuario"/>
        <s v="painel solar"/>
        <s v="combustivel"/>
        <s v="mercado"/>
        <s v="Padaria"/>
        <s v="utilizades domesticas"/>
        <s v="Manutenção casa"/>
        <s v="farmacia"/>
      </sharedItems>
    </cacheField>
  </cacheFields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2" sheet="jan25"/>
  </cacheSource>
  <cacheFields>
    <cacheField name="Descricao" numFmtId="0">
      <sharedItems>
        <s v="escolar Arthur"/>
        <s v="Faculdade Aline"/>
        <s v="dentista Arthur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Amazon "/>
        <s v="petz"/>
        <s v="Pag*Steam"/>
        <s v="restaurante da familia"/>
        <s v="sams club"/>
        <s v="lgmdistribuidora"/>
        <s v="grupoIdeal"/>
        <s v="Epar"/>
        <s v="Burger king"/>
        <s v="padaria"/>
        <s v="PostoVipCanecoNoven"/>
        <s v="PuroGas"/>
        <s v="Denair"/>
        <s v="pank motos"/>
        <s v="sacolao do barateiro"/>
        <s v="StarLink"/>
        <s v="Iof S/Trans inter Reais"/>
        <s v="Gabriela Marinho"/>
        <s v="casa pedro"/>
        <s v="Drogaria tamoio"/>
        <s v="Drogaria Pacheco"/>
        <s v="Nosso Park Estacionamento"/>
        <s v="Puro gas"/>
        <s v="finpet"/>
        <s v="carrefourManilha"/>
        <s v="CarrefourPost"/>
        <s v="Atacatao"/>
        <s v="Sacolao de nova cidade"/>
        <s v="Supermercado Guanabara"/>
        <s v="pes e patas"/>
        <s v="cacula sao goncalo"/>
        <s v="kik"/>
        <s v="Top Arena"/>
        <s v="hortfruit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boticari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  <n v="6.0"/>
        <n v="7.0"/>
        <n v="9.0"/>
        <n v="10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895.0"/>
        <n v="834.94"/>
        <n v="140.0"/>
        <n v="0.0"/>
        <n v="600.0"/>
        <n v="129.0"/>
        <n v="88.0"/>
        <n v="19.95"/>
        <n v="27.99"/>
        <n v="44.9"/>
        <n v="244.12"/>
        <n v="215.8"/>
        <n v="60.0"/>
        <n v="500.0"/>
      </sharedItems>
    </cacheField>
    <cacheField name="situacao" numFmtId="0">
      <sharedItems containsBlank="1">
        <s v="pg"/>
        <m/>
        <s v="open"/>
        <s v="closed"/>
      </sharedItems>
    </cacheField>
    <cacheField name="forma de pagamento" numFmtId="0">
      <sharedItems>
        <s v="boleto"/>
        <s v="Pix"/>
        <s v="debito automatico"/>
        <s v="nubank card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m/>
        <s v="santander conta"/>
        <s v="nubank conta"/>
      </sharedItems>
    </cacheField>
  </cacheFields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2" sheet="jan25"/>
  </cacheSource>
  <cacheFields>
    <cacheField name="Descricao" numFmtId="0">
      <sharedItems>
        <s v="escolar Arthur"/>
        <s v="Faculdade Aline"/>
        <s v="dentista Arthur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Amazon "/>
        <s v="petz"/>
        <s v="Pag*Steam"/>
        <s v="restaurante da familia"/>
        <s v="sams club"/>
        <s v="lgmdistribuidora"/>
        <s v="grupoIdeal"/>
        <s v="Epar"/>
        <s v="Burger king"/>
        <s v="padaria"/>
        <s v="PostoVipCanecoNoven"/>
        <s v="PuroGas"/>
        <s v="Denair"/>
        <s v="pank motos"/>
        <s v="sacolao do barateiro"/>
        <s v="StarLink"/>
        <s v="Iof S/Trans inter Reais"/>
        <s v="Gabriela Marinho"/>
        <s v="casa pedro"/>
        <s v="Drogaria tamoio"/>
        <s v="Drogaria Pacheco"/>
        <s v="Nosso Park Estacionamento"/>
        <s v="Puro gas"/>
        <s v="finpet"/>
        <s v="carrefourManilha"/>
        <s v="CarrefourPost"/>
        <s v="Atacatao"/>
        <s v="Sacolao de nova cidade"/>
        <s v="Supermercado Guanabara"/>
        <s v="pes e patas"/>
        <s v="cacula sao goncalo"/>
        <s v="kik"/>
        <s v="Top Arena"/>
        <s v="hortfruit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boticari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  <n v="6.0"/>
        <n v="7.0"/>
        <n v="9.0"/>
        <n v="10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895.0"/>
        <n v="834.94"/>
        <n v="140.0"/>
        <n v="0.0"/>
        <n v="600.0"/>
        <n v="129.0"/>
        <n v="88.0"/>
        <n v="19.95"/>
        <n v="27.99"/>
        <n v="44.9"/>
        <n v="244.12"/>
        <n v="215.8"/>
        <n v="60.0"/>
        <n v="500.0"/>
      </sharedItems>
    </cacheField>
    <cacheField name="situacao" numFmtId="0">
      <sharedItems containsBlank="1">
        <s v="pg"/>
        <m/>
        <s v="open"/>
        <s v="closed"/>
      </sharedItems>
    </cacheField>
    <cacheField name="forma de pagamento" numFmtId="0">
      <sharedItems>
        <s v="boleto"/>
        <s v="Pix"/>
        <s v="debito automatico"/>
        <s v="nubank card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m/>
        <s v="santander conta"/>
        <s v="nubank conta"/>
      </sharedItems>
    </cacheField>
    <cacheField name="subclassificacao" numFmtId="0">
      <sharedItems containsBlank="1">
        <s v="despesas pessoais"/>
        <m/>
        <s v="habitacao"/>
        <s v="transporte"/>
        <s v="educacao"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2" sheet="jan25"/>
  </cacheSource>
  <cacheFields>
    <cacheField name="Descricao" numFmtId="0">
      <sharedItems>
        <s v="escolar Arthur"/>
        <s v="Faculdade Aline"/>
        <s v="dentista Arthur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Amazon "/>
        <s v="petz"/>
        <s v="Pag*Steam"/>
        <s v="restaurante da familia"/>
        <s v="sams club"/>
        <s v="lgmdistribuidora"/>
        <s v="grupoIdeal"/>
        <s v="Epar"/>
        <s v="Burger king"/>
        <s v="padaria"/>
        <s v="PostoVipCanecoNoven"/>
        <s v="PuroGas"/>
        <s v="Denair"/>
        <s v="pank motos"/>
        <s v="sacolao do barateiro"/>
        <s v="StarLink"/>
        <s v="Iof S/Trans inter Reais"/>
        <s v="Gabriela Marinho"/>
        <s v="casa pedro"/>
        <s v="Drogaria tamoio"/>
        <s v="Drogaria Pacheco"/>
        <s v="Nosso Park Estacionamento"/>
        <s v="Puro gas"/>
        <s v="finpet"/>
        <s v="carrefourManilha"/>
        <s v="CarrefourPost"/>
        <s v="Atacatao"/>
        <s v="Sacolao de nova cidade"/>
        <s v="Supermercado Guanabara"/>
        <s v="pes e patas"/>
        <s v="cacula sao goncalo"/>
        <s v="kik"/>
        <s v="Top Arena"/>
        <s v="hortfruit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boticari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  <n v="6.0"/>
        <n v="7.0"/>
        <n v="9.0"/>
        <n v="10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895.0"/>
        <n v="834.94"/>
        <n v="140.0"/>
        <n v="0.0"/>
        <n v="600.0"/>
        <n v="129.0"/>
        <n v="88.0"/>
        <n v="19.95"/>
        <n v="27.99"/>
        <n v="44.9"/>
        <n v="244.12"/>
        <n v="215.8"/>
        <n v="60.0"/>
        <n v="500.0"/>
      </sharedItems>
    </cacheField>
    <cacheField name="situacao" numFmtId="0">
      <sharedItems containsBlank="1">
        <s v="pg"/>
        <m/>
        <s v="open"/>
        <s v="closed"/>
      </sharedItems>
    </cacheField>
    <cacheField name="forma de pagamento" numFmtId="0">
      <sharedItems>
        <s v="boleto"/>
        <s v="Pix"/>
        <s v="debito automatico"/>
        <s v="nubank card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m/>
        <s v="santander conta"/>
        <s v="nubank conta"/>
      </sharedItems>
    </cacheField>
    <cacheField name="subclassificacao" numFmtId="0">
      <sharedItems containsBlank="1">
        <s v="despesas pessoais"/>
        <m/>
        <s v="habitacao"/>
        <s v="transporte"/>
        <s v="educacao"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farmacia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gift"/>
        <s v="Pet"/>
        <s v="mercado"/>
        <s v="Padaria"/>
        <s v="outros"/>
        <s v="manutencao veicular"/>
        <s v="Feira"/>
        <s v="estacionamentos"/>
        <s v="manutenção domiciliar"/>
        <s v="Vestuario"/>
      </sharedItems>
    </cacheField>
  </cacheFields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" sheet="fev25"/>
  </cacheSource>
  <cacheFields>
    <cacheField name="Descricao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Recarga"/>
        <s v="transferencia p Alex 01/02"/>
        <s v="Sefaz 03/03 "/>
        <s v="Shopee"/>
        <s v="Parafusos "/>
        <s v="instalacao Ar condicionado"/>
        <s v="Grupo Ideal"/>
        <s v="Guanabara Alcantara"/>
        <s v="transferencia p Aline"/>
        <s v="Enel"/>
        <s v="DoceEnergia"/>
        <s v="Cia do Doce"/>
        <s v="Estacionamento"/>
        <s v="Purogas Mutua GNV"/>
        <s v="Philippe pix"/>
        <s v="Aledson Pix"/>
        <s v="Purogas"/>
        <s v="HORTIFRUTI MARQUES DE"/>
        <s v="PETZ CARREFOUR MANILHA"/>
        <s v="CHINA IN BOX"/>
        <s v="LGM DISTRIBUIDORA E CO"/>
        <s v="ASSAI ATACADISTA LJ35"/>
        <s v="CASAS PEDRO"/>
        <s v="SUPERMERCADO GUANABARA"/>
        <s v="GrupoIdeal"/>
        <s v="MCDONALDS"/>
        <s v="ATACADAO 0681 AS"/>
        <s v="JAPA DE MADUREIRA BIJU"/>
        <s v="EdinilzaBorges"/>
        <s v="AffrikaGourmet"/>
        <s v="MAV COMERCIO LTDA"/>
        <s v="POSTO DE GASOLINA HALL"/>
        <s v="BURGER KING"/>
        <s v="PADARIA DELICIA DE ITA"/>
        <s v="CARREFOUR - ALCANTARA"/>
        <s v="AilsonVieiraDa"/>
        <s v="RamonAdrianoPrado"/>
        <s v="MUNDO DA REFRIGERACAO"/>
        <s v="J PEDRO DESCARTAVEIS"/>
        <s v="CARREFOUR COM 01/08"/>
        <s v="EdineyGuimaraesDe"/>
        <s v="LANCHONETE PATIO DAS D"/>
        <s v="BOLERIA DAVO ED."/>
        <s v="POSTO CARREFOUR - MANI"/>
        <s v="PETZ *PETZ"/>
        <s v="CarrefourManilha"/>
        <s v="PES PATAS"/>
        <s v="CASSEL FRUTAS"/>
        <s v="DROGARIAS PACHECO"/>
        <s v="LOJAS AMERICANAS 5228"/>
        <s v="D RODRIGUES"/>
        <s v="ATACADAO 0202 AS"/>
        <s v="CANTINA ALF BACKER"/>
        <s v="EletroMouraLtda"/>
        <s v="ASSAI ATACADISTA LJ26"/>
        <s v="OsmarCostaJunior"/>
        <s v="Diego Futebol"/>
        <s v="camisa futebol"/>
        <s v="Futebol"/>
        <s v="Mercado livre"/>
      </sharedItems>
    </cacheField>
    <cacheField name="dia" numFmtId="0">
      <sharedItems containsSemiMixedTypes="0" containsString="0" containsNumber="1" containsInteger="1">
        <n v="5.0"/>
        <n v="14.0"/>
        <n v="11.0"/>
        <n v="26.0"/>
        <n v="30.0"/>
        <n v="16.0"/>
        <n v="29.0"/>
        <n v="2.0"/>
        <n v="15.0"/>
        <n v="8.0"/>
        <n v="27.0"/>
        <n v="10.0"/>
        <n v="3.0"/>
        <n v="4.0"/>
        <n v="6.0"/>
        <n v="7.0"/>
        <n v="13.0"/>
        <n v="17.0"/>
        <n v="18.0"/>
        <n v="24.0"/>
        <n v="28.0"/>
        <n v="22.0"/>
        <n v="21.0"/>
        <n v="20.0"/>
        <n v="19.0"/>
        <n v="12.0"/>
        <n v="1.0"/>
        <n v="0.0"/>
      </sharedItems>
    </cacheField>
    <cacheField name="valor" numFmtId="166">
      <sharedItems containsSemiMixedTypes="0" containsString="0" containsNumber="1">
        <n v="789.0"/>
        <n v="556.63"/>
        <n v="140.0"/>
        <n v="626.13"/>
        <n v="132.72"/>
        <n v="101.1"/>
        <n v="19.95"/>
        <n v="0.0"/>
        <n v="27.99"/>
        <n v="44.9"/>
        <n v="244.12"/>
        <n v="215.8"/>
        <n v="20.0"/>
        <n v="30.0"/>
        <n v="50.0"/>
        <n v="208.46"/>
        <n v="243.0"/>
        <n v="434.0"/>
        <n v="10.0"/>
        <n v="89.8"/>
        <n v="4.5"/>
        <n v="100.0"/>
        <n v="534.01"/>
        <n v="7.0"/>
        <n v="40.0"/>
        <n v="5.0"/>
        <n v="61.55"/>
        <n v="26.9"/>
        <n v="89.99"/>
        <n v="42.9"/>
        <n v="-730.0"/>
        <n v="28.0"/>
        <n v="81.36"/>
        <n v="46.77"/>
        <n v="514.95"/>
        <n v="72.62"/>
        <n v="9.0"/>
        <n v="193.01"/>
        <n v="48.95"/>
        <n v="4.0"/>
        <n v="117.27"/>
        <n v="24.0"/>
        <n v="9.9"/>
        <n v="280.38"/>
        <n v="18.0"/>
        <n v="89.0"/>
        <n v="22.25"/>
        <n v="55.25"/>
        <n v="65.8"/>
        <n v="109.92"/>
        <n v="53.15"/>
        <n v="12.0"/>
        <n v="89.9"/>
        <n v="33.5"/>
        <n v="328.57"/>
        <n v="32.0"/>
        <n v="63.8"/>
        <n v="56.07"/>
        <n v="24.99"/>
        <n v="41.0"/>
        <n v="33.46"/>
        <n v="93.76"/>
        <n v="877.35"/>
        <n v="18.99"/>
        <n v="34.9"/>
        <n v="107.45"/>
        <n v="7.11"/>
        <n v="25.33"/>
        <n v="30.97"/>
        <n v="190.31"/>
        <n v="1638.0"/>
        <n v="11.06"/>
        <n v="27.0"/>
        <n v="207.43"/>
        <n v="15.0"/>
        <n v="65.0"/>
        <n v="60.0"/>
        <n v="273.0"/>
        <n v="91.28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  <s v="Bradesco cc"/>
        <s v="Pix Bradesco cc"/>
        <s v="Bradesco debito"/>
        <s v="Bradesco Visa Electron"/>
        <s v="pix Nubank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" sheet="fev25"/>
  </cacheSource>
  <cacheFields>
    <cacheField name="Descricao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Recarga"/>
        <s v="transferencia p Alex 01/02"/>
        <s v="Sefaz 03/03 "/>
        <s v="Shopee"/>
        <s v="Parafusos "/>
        <s v="instalacao Ar condicionado"/>
        <s v="Grupo Ideal"/>
        <s v="Guanabara Alcantara"/>
        <s v="transferencia p Aline"/>
        <s v="Enel"/>
        <s v="DoceEnergia"/>
        <s v="Cia do Doce"/>
        <s v="Estacionamento"/>
        <s v="Purogas Mutua GNV"/>
        <s v="Philippe pix"/>
        <s v="Aledson Pix"/>
        <s v="Purogas"/>
        <s v="HORTIFRUTI MARQUES DE"/>
        <s v="PETZ CARREFOUR MANILHA"/>
        <s v="CHINA IN BOX"/>
        <s v="LGM DISTRIBUIDORA E CO"/>
        <s v="ASSAI ATACADISTA LJ35"/>
        <s v="CASAS PEDRO"/>
        <s v="SUPERMERCADO GUANABARA"/>
        <s v="GrupoIdeal"/>
        <s v="MCDONALDS"/>
        <s v="ATACADAO 0681 AS"/>
        <s v="JAPA DE MADUREIRA BIJU"/>
        <s v="EdinilzaBorges"/>
        <s v="AffrikaGourmet"/>
        <s v="MAV COMERCIO LTDA"/>
        <s v="POSTO DE GASOLINA HALL"/>
        <s v="BURGER KING"/>
        <s v="PADARIA DELICIA DE ITA"/>
        <s v="CARREFOUR - ALCANTARA"/>
        <s v="AilsonVieiraDa"/>
        <s v="RamonAdrianoPrado"/>
        <s v="MUNDO DA REFRIGERACAO"/>
        <s v="J PEDRO DESCARTAVEIS"/>
        <s v="CARREFOUR COM 01/08"/>
        <s v="EdineyGuimaraesDe"/>
        <s v="LANCHONETE PATIO DAS D"/>
        <s v="BOLERIA DAVO ED."/>
        <s v="POSTO CARREFOUR - MANI"/>
        <s v="PETZ *PETZ"/>
        <s v="CarrefourManilha"/>
        <s v="PES PATAS"/>
        <s v="CASSEL FRUTAS"/>
        <s v="DROGARIAS PACHECO"/>
        <s v="LOJAS AMERICANAS 5228"/>
        <s v="D RODRIGUES"/>
        <s v="ATACADAO 0202 AS"/>
        <s v="CANTINA ALF BACKER"/>
        <s v="EletroMouraLtda"/>
        <s v="ASSAI ATACADISTA LJ26"/>
        <s v="OsmarCostaJunior"/>
        <s v="Diego Futebol"/>
        <s v="camisa futebol"/>
        <s v="Futebol"/>
        <s v="Mercado livre"/>
      </sharedItems>
    </cacheField>
    <cacheField name="dia" numFmtId="0">
      <sharedItems containsSemiMixedTypes="0" containsString="0" containsNumber="1" containsInteger="1">
        <n v="5.0"/>
        <n v="14.0"/>
        <n v="11.0"/>
        <n v="26.0"/>
        <n v="30.0"/>
        <n v="16.0"/>
        <n v="29.0"/>
        <n v="2.0"/>
        <n v="15.0"/>
        <n v="8.0"/>
        <n v="27.0"/>
        <n v="10.0"/>
        <n v="3.0"/>
        <n v="4.0"/>
        <n v="6.0"/>
        <n v="7.0"/>
        <n v="13.0"/>
        <n v="17.0"/>
        <n v="18.0"/>
        <n v="24.0"/>
        <n v="28.0"/>
        <n v="22.0"/>
        <n v="21.0"/>
        <n v="20.0"/>
        <n v="19.0"/>
        <n v="12.0"/>
        <n v="1.0"/>
        <n v="0.0"/>
      </sharedItems>
    </cacheField>
    <cacheField name="valor" numFmtId="166">
      <sharedItems containsSemiMixedTypes="0" containsString="0" containsNumber="1">
        <n v="789.0"/>
        <n v="556.63"/>
        <n v="140.0"/>
        <n v="626.13"/>
        <n v="132.72"/>
        <n v="101.1"/>
        <n v="19.95"/>
        <n v="0.0"/>
        <n v="27.99"/>
        <n v="44.9"/>
        <n v="244.12"/>
        <n v="215.8"/>
        <n v="20.0"/>
        <n v="30.0"/>
        <n v="50.0"/>
        <n v="208.46"/>
        <n v="243.0"/>
        <n v="434.0"/>
        <n v="10.0"/>
        <n v="89.8"/>
        <n v="4.5"/>
        <n v="100.0"/>
        <n v="534.01"/>
        <n v="7.0"/>
        <n v="40.0"/>
        <n v="5.0"/>
        <n v="61.55"/>
        <n v="26.9"/>
        <n v="89.99"/>
        <n v="42.9"/>
        <n v="-730.0"/>
        <n v="28.0"/>
        <n v="81.36"/>
        <n v="46.77"/>
        <n v="514.95"/>
        <n v="72.62"/>
        <n v="9.0"/>
        <n v="193.01"/>
        <n v="48.95"/>
        <n v="4.0"/>
        <n v="117.27"/>
        <n v="24.0"/>
        <n v="9.9"/>
        <n v="280.38"/>
        <n v="18.0"/>
        <n v="89.0"/>
        <n v="22.25"/>
        <n v="55.25"/>
        <n v="65.8"/>
        <n v="109.92"/>
        <n v="53.15"/>
        <n v="12.0"/>
        <n v="89.9"/>
        <n v="33.5"/>
        <n v="328.57"/>
        <n v="32.0"/>
        <n v="63.8"/>
        <n v="56.07"/>
        <n v="24.99"/>
        <n v="41.0"/>
        <n v="33.46"/>
        <n v="93.76"/>
        <n v="877.35"/>
        <n v="18.99"/>
        <n v="34.9"/>
        <n v="107.45"/>
        <n v="7.11"/>
        <n v="25.33"/>
        <n v="30.97"/>
        <n v="190.31"/>
        <n v="1638.0"/>
        <n v="11.06"/>
        <n v="27.0"/>
        <n v="207.43"/>
        <n v="15.0"/>
        <n v="65.0"/>
        <n v="60.0"/>
        <n v="273.0"/>
        <n v="91.28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  <s v="Bradesco cc"/>
        <s v="Pix Bradesco cc"/>
        <s v="Bradesco debito"/>
        <s v="Bradesco Visa Electron"/>
        <s v="pix Nubank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" sheet="fev25"/>
  </cacheSource>
  <cacheFields>
    <cacheField name="Descricao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Recarga"/>
        <s v="transferencia p Alex 01/02"/>
        <s v="Sefaz 03/03 "/>
        <s v="Shopee"/>
        <s v="Parafusos "/>
        <s v="instalacao Ar condicionado"/>
        <s v="Grupo Ideal"/>
        <s v="Guanabara Alcantara"/>
        <s v="transferencia p Aline"/>
        <s v="Enel"/>
        <s v="DoceEnergia"/>
        <s v="Cia do Doce"/>
        <s v="Estacionamento"/>
        <s v="Purogas Mutua GNV"/>
        <s v="Philippe pix"/>
        <s v="Aledson Pix"/>
        <s v="Purogas"/>
        <s v="HORTIFRUTI MARQUES DE"/>
        <s v="PETZ CARREFOUR MANILHA"/>
        <s v="CHINA IN BOX"/>
        <s v="LGM DISTRIBUIDORA E CO"/>
        <s v="ASSAI ATACADISTA LJ35"/>
        <s v="CASAS PEDRO"/>
        <s v="SUPERMERCADO GUANABARA"/>
        <s v="GrupoIdeal"/>
        <s v="MCDONALDS"/>
        <s v="ATACADAO 0681 AS"/>
        <s v="JAPA DE MADUREIRA BIJU"/>
        <s v="EdinilzaBorges"/>
        <s v="AffrikaGourmet"/>
        <s v="MAV COMERCIO LTDA"/>
        <s v="POSTO DE GASOLINA HALL"/>
        <s v="BURGER KING"/>
        <s v="PADARIA DELICIA DE ITA"/>
        <s v="CARREFOUR - ALCANTARA"/>
        <s v="AilsonVieiraDa"/>
        <s v="RamonAdrianoPrado"/>
        <s v="MUNDO DA REFRIGERACAO"/>
        <s v="J PEDRO DESCARTAVEIS"/>
        <s v="CARREFOUR COM 01/08"/>
        <s v="EdineyGuimaraesDe"/>
        <s v="LANCHONETE PATIO DAS D"/>
        <s v="BOLERIA DAVO ED."/>
        <s v="POSTO CARREFOUR - MANI"/>
        <s v="PETZ *PETZ"/>
        <s v="CarrefourManilha"/>
        <s v="PES PATAS"/>
        <s v="CASSEL FRUTAS"/>
        <s v="DROGARIAS PACHECO"/>
        <s v="LOJAS AMERICANAS 5228"/>
        <s v="D RODRIGUES"/>
        <s v="ATACADAO 0202 AS"/>
        <s v="CANTINA ALF BACKER"/>
        <s v="EletroMouraLtda"/>
        <s v="ASSAI ATACADISTA LJ26"/>
        <s v="OsmarCostaJunior"/>
        <s v="Diego Futebol"/>
        <s v="camisa futebol"/>
        <s v="Futebol"/>
        <s v="Mercado livre"/>
      </sharedItems>
    </cacheField>
    <cacheField name="dia" numFmtId="0">
      <sharedItems containsSemiMixedTypes="0" containsString="0" containsNumber="1" containsInteger="1">
        <n v="5.0"/>
        <n v="14.0"/>
        <n v="11.0"/>
        <n v="26.0"/>
        <n v="30.0"/>
        <n v="16.0"/>
        <n v="29.0"/>
        <n v="2.0"/>
        <n v="15.0"/>
        <n v="8.0"/>
        <n v="27.0"/>
        <n v="10.0"/>
        <n v="3.0"/>
        <n v="4.0"/>
        <n v="6.0"/>
        <n v="7.0"/>
        <n v="13.0"/>
        <n v="17.0"/>
        <n v="18.0"/>
        <n v="24.0"/>
        <n v="28.0"/>
        <n v="22.0"/>
        <n v="21.0"/>
        <n v="20.0"/>
        <n v="19.0"/>
        <n v="12.0"/>
        <n v="1.0"/>
        <n v="0.0"/>
      </sharedItems>
    </cacheField>
    <cacheField name="valor" numFmtId="166">
      <sharedItems containsSemiMixedTypes="0" containsString="0" containsNumber="1">
        <n v="789.0"/>
        <n v="556.63"/>
        <n v="140.0"/>
        <n v="626.13"/>
        <n v="132.72"/>
        <n v="101.1"/>
        <n v="19.95"/>
        <n v="0.0"/>
        <n v="27.99"/>
        <n v="44.9"/>
        <n v="244.12"/>
        <n v="215.8"/>
        <n v="20.0"/>
        <n v="30.0"/>
        <n v="50.0"/>
        <n v="208.46"/>
        <n v="243.0"/>
        <n v="434.0"/>
        <n v="10.0"/>
        <n v="89.8"/>
        <n v="4.5"/>
        <n v="100.0"/>
        <n v="534.01"/>
        <n v="7.0"/>
        <n v="40.0"/>
        <n v="5.0"/>
        <n v="61.55"/>
        <n v="26.9"/>
        <n v="89.99"/>
        <n v="42.9"/>
        <n v="-730.0"/>
        <n v="28.0"/>
        <n v="81.36"/>
        <n v="46.77"/>
        <n v="514.95"/>
        <n v="72.62"/>
        <n v="9.0"/>
        <n v="193.01"/>
        <n v="48.95"/>
        <n v="4.0"/>
        <n v="117.27"/>
        <n v="24.0"/>
        <n v="9.9"/>
        <n v="280.38"/>
        <n v="18.0"/>
        <n v="89.0"/>
        <n v="22.25"/>
        <n v="55.25"/>
        <n v="65.8"/>
        <n v="109.92"/>
        <n v="53.15"/>
        <n v="12.0"/>
        <n v="89.9"/>
        <n v="33.5"/>
        <n v="328.57"/>
        <n v="32.0"/>
        <n v="63.8"/>
        <n v="56.07"/>
        <n v="24.99"/>
        <n v="41.0"/>
        <n v="33.46"/>
        <n v="93.76"/>
        <n v="877.35"/>
        <n v="18.99"/>
        <n v="34.9"/>
        <n v="107.45"/>
        <n v="7.11"/>
        <n v="25.33"/>
        <n v="30.97"/>
        <n v="190.31"/>
        <n v="1638.0"/>
        <n v="11.06"/>
        <n v="27.0"/>
        <n v="207.43"/>
        <n v="15.0"/>
        <n v="65.0"/>
        <n v="60.0"/>
        <n v="273.0"/>
        <n v="91.28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  <s v="Bradesco cc"/>
        <s v="Pix Bradesco cc"/>
        <s v="Bradesco debito"/>
        <s v="Bradesco Visa Electron"/>
        <s v="pix Nubank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gift"/>
        <s v="projetos"/>
        <s v="Feira"/>
        <s v="mercado"/>
        <s v="pix aline"/>
        <s v="Lazer"/>
        <s v="estacionamentos"/>
        <s v="combustivel"/>
        <s v="Pet"/>
        <s v="outros"/>
        <s v="Padaria"/>
        <s v="utilizades domesticas"/>
        <s v="reforma casa"/>
        <s v="farmacia"/>
        <s v="material escolar"/>
      </sharedItems>
    </cacheField>
  </cacheFields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98" sheet="mar25"/>
  </cacheSource>
  <cacheFields>
    <cacheField name="Descricao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Recarga"/>
        <s v="Pix Aline"/>
        <s v="Brownie"/>
        <s v="Latam Gateway"/>
        <s v="Casa linda"/>
        <s v="Bazar agroverde"/>
        <s v="Universidadedasco"/>
        <s v="Sefaz"/>
        <s v="Doce Energia"/>
        <s v="TudoDeVet"/>
        <s v="Sacolao barateiro"/>
        <s v="ObraTelhadoPainelSolar"/>
        <s v="Pix Philippe"/>
        <s v="Aliexpress"/>
        <s v="Recarga Arthur"/>
        <s v="PADARIA DELICIA DE ITA"/>
        <s v="MERCADO NOVO RIO"/>
        <s v="REDE ECONOMIA"/>
        <s v="GLADIADOR PET SHOP"/>
        <s v="CASAS PEDRO"/>
        <s v="HORTIFRUTI MARQUES DE"/>
        <s v="MAGAZINE TORRA TORRA L"/>
        <s v="LOJAS AMERICANAS 87"/>
        <s v="PES E PATAS COMERCIO D"/>
        <s v="ATACADAO 0202 AS"/>
        <s v="POSTO DE GASOLINA HALL"/>
        <s v="LGM DISTRIBUIDORA E CO"/>
        <s v="MP*OUROLUXSOLAR 1/12"/>
        <s v="SAMANTA CORREA MEZINES"/>
        <s v="DECATHLON 1/2"/>
        <s v="KALUNGA SHOP NITEROI"/>
        <s v="ASSAI ATACADISTA  LJ35"/>
        <s v="AUTO POSTO T"/>
        <s v="G PET SHOP"/>
        <s v="GrupoIdeal"/>
        <s v="CASSEL FRUTAS"/>
        <s v="RAIA3421"/>
        <s v="CIA DO DOCE"/>
        <s v="BURGER KING"/>
        <s v="MURALHA"/>
        <s v="HF STUDIOHAIR"/>
        <s v="POSTO VIP CANECO NOVEN"/>
        <s v="KAMARO RACOES"/>
        <s v="PET SHOP VOVO ZUZU"/>
        <s v="SUPERMERCADO GUANABARA"/>
        <s v="PURO GAS"/>
        <s v="CARREFOUR - ALCANTARA"/>
        <s v="O BOTICARIO"/>
        <s v="SACOLAO DO BARATEIRO"/>
        <s v="KI CHOPP"/>
        <s v="JOLUKAR COMUNICACAO VI"/>
        <s v="CARREFOUR COM 2/8"/>
        <s v="Futebol"/>
        <s v="Mercado livre"/>
        <s v="Petz "/>
        <s v="Cobasi"/>
        <s v="Mp Frederico"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9.0"/>
        <n v="2.0"/>
        <n v="15.0"/>
        <n v="8.0"/>
        <n v="27.0"/>
        <n v="10.0"/>
        <n v="6.0"/>
        <n v="12.0"/>
        <n v="13.0"/>
        <n v="18.0"/>
        <n v="20.0"/>
        <n v="31.0"/>
        <n v="24.0"/>
        <n v="23.0"/>
        <n v="22.0"/>
        <n v="19.0"/>
        <n v="17.0"/>
        <n v="9.0"/>
        <n v="7.0"/>
        <n v="3.0"/>
        <n v="1.0"/>
        <n v="0.0"/>
        <n v="28.0"/>
      </sharedItems>
    </cacheField>
    <cacheField name="valor" numFmtId="166">
      <sharedItems containsSemiMixedTypes="0" containsString="0" containsNumber="1">
        <n v="789.0"/>
        <n v="695.78"/>
        <n v="140.0"/>
        <n v="0.0"/>
        <n v="132.55"/>
        <n v="99.9"/>
        <n v="19.95"/>
        <n v="27.99"/>
        <n v="44.9"/>
        <n v="244.12"/>
        <n v="215.8"/>
        <n v="20.0"/>
        <n v="30.0"/>
        <n v="630.0"/>
        <n v="10.0"/>
        <n v="200.0"/>
        <n v="68.5"/>
        <n v="12.9"/>
        <n v="8.0"/>
        <n v="208.46"/>
        <n v="7.0"/>
        <n v="95.4"/>
        <n v="6.95"/>
        <n v="700.0"/>
        <n v="-730.0"/>
        <n v="178.84"/>
        <n v="102.0"/>
        <n v="4.0"/>
        <n v="39.0"/>
        <n v="23.75"/>
        <n v="133.9"/>
        <n v="36.27"/>
        <n v="35.06"/>
        <n v="14.99"/>
        <n v="53.44"/>
        <n v="100.2"/>
        <n v="9.0"/>
        <n v="207.98"/>
        <n v="52.38"/>
        <n v="777.64"/>
        <n v="230.0"/>
        <n v="149.98"/>
        <n v="69.9"/>
        <n v="159.96"/>
        <n v="53.95"/>
        <n v="277.41"/>
        <n v="63.45"/>
        <n v="33.9"/>
        <n v="3.0"/>
        <n v="24.0"/>
        <n v="36.56"/>
        <n v="79.88"/>
        <n v="78.5"/>
        <n v="12.38"/>
        <n v="68.8"/>
        <n v="40.0"/>
        <n v="286.9"/>
        <n v="23.1"/>
        <n v="23.0"/>
        <n v="35.0"/>
        <n v="155.39"/>
        <n v="64.86"/>
        <n v="45.94"/>
        <n v="60.0"/>
        <n v="93.58"/>
        <n v="144.7"/>
        <n v="8.11"/>
        <n v="15.0"/>
        <n v="119.69"/>
        <n v="26.5"/>
        <n v="328.55"/>
        <n v="179.0"/>
        <n v="246.99"/>
        <n v="51.93"/>
        <n v="675.23"/>
        <n v="93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  <s v="Bradesco cc"/>
        <s v="Pix Bradesco cc"/>
        <s v="Bradesco Visa Electron"/>
        <s v="pix Nubank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8" sheet="mar25"/>
  </cacheSource>
  <cacheFields>
    <cacheField name="Descricao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Recarga"/>
        <s v="Pix Aline"/>
        <s v="Brownie"/>
        <s v="Latam Gateway"/>
        <s v="Casa linda"/>
        <s v="Bazar agroverde"/>
        <s v="Universidadedasco"/>
        <s v="Sefaz"/>
        <s v="Doce Energia"/>
        <s v="TudoDeVet"/>
        <s v="Sacolao barateiro"/>
        <s v="ObraTelhadoPainelSolar"/>
        <s v="Pix Philippe"/>
        <s v="Aliexpress"/>
        <s v="Recarga Arthur"/>
        <s v="PADARIA DELICIA DE ITA"/>
        <s v="MERCADO NOVO RIO"/>
        <s v="REDE ECONOMIA"/>
        <s v="GLADIADOR PET SHOP"/>
        <s v="CASAS PEDRO"/>
        <s v="HORTIFRUTI MARQUES DE"/>
        <s v="MAGAZINE TORRA TORRA L"/>
        <s v="LOJAS AMERICANAS 87"/>
        <s v="PES E PATAS COMERCIO D"/>
        <s v="ATACADAO 0202 AS"/>
        <s v="POSTO DE GASOLINA HALL"/>
        <s v="LGM DISTRIBUIDORA E CO"/>
        <s v="MP*OUROLUXSOLAR 1/12"/>
        <s v="SAMANTA CORREA MEZINES"/>
        <s v="DECATHLON 1/2"/>
        <s v="KALUNGA SHOP NITEROI"/>
        <s v="ASSAI ATACADISTA  LJ35"/>
        <s v="AUTO POSTO T"/>
        <s v="G PET SHOP"/>
        <s v="GrupoIdeal"/>
        <s v="CASSEL FRUTAS"/>
        <s v="RAIA3421"/>
        <s v="CIA DO DOCE"/>
        <s v="BURGER KING"/>
        <s v="MURALHA"/>
        <s v="HF STUDIOHAIR"/>
        <s v="POSTO VIP CANECO NOVEN"/>
        <s v="KAMARO RACOES"/>
        <s v="PET SHOP VOVO ZUZU"/>
        <s v="SUPERMERCADO GUANABARA"/>
        <s v="PURO GAS"/>
        <s v="CARREFOUR - ALCANTARA"/>
        <s v="O BOTICARIO"/>
        <s v="SACOLAO DO BARATEIRO"/>
        <s v="KI CHOPP"/>
        <s v="JOLUKAR COMUNICACAO VI"/>
        <s v="CARREFOUR COM 2/8"/>
        <s v="Futebol"/>
        <s v="Mercado livre"/>
        <s v="Petz "/>
        <s v="Cobasi"/>
        <s v="Mp Frederico"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9.0"/>
        <n v="2.0"/>
        <n v="15.0"/>
        <n v="8.0"/>
        <n v="27.0"/>
        <n v="10.0"/>
        <n v="6.0"/>
        <n v="12.0"/>
        <n v="13.0"/>
        <n v="18.0"/>
        <n v="20.0"/>
        <n v="31.0"/>
        <n v="24.0"/>
        <n v="23.0"/>
        <n v="22.0"/>
        <n v="19.0"/>
        <n v="17.0"/>
        <n v="9.0"/>
        <n v="7.0"/>
        <n v="3.0"/>
        <n v="1.0"/>
        <n v="0.0"/>
        <n v="28.0"/>
      </sharedItems>
    </cacheField>
    <cacheField name="valor" numFmtId="166">
      <sharedItems containsSemiMixedTypes="0" containsString="0" containsNumber="1">
        <n v="789.0"/>
        <n v="695.78"/>
        <n v="140.0"/>
        <n v="0.0"/>
        <n v="132.55"/>
        <n v="99.9"/>
        <n v="19.95"/>
        <n v="27.99"/>
        <n v="44.9"/>
        <n v="244.12"/>
        <n v="215.8"/>
        <n v="20.0"/>
        <n v="30.0"/>
        <n v="630.0"/>
        <n v="10.0"/>
        <n v="200.0"/>
        <n v="68.5"/>
        <n v="12.9"/>
        <n v="8.0"/>
        <n v="208.46"/>
        <n v="7.0"/>
        <n v="95.4"/>
        <n v="6.95"/>
        <n v="700.0"/>
        <n v="-730.0"/>
        <n v="178.84"/>
        <n v="102.0"/>
        <n v="4.0"/>
        <n v="39.0"/>
        <n v="23.75"/>
        <n v="133.9"/>
        <n v="36.27"/>
        <n v="35.06"/>
        <n v="14.99"/>
        <n v="53.44"/>
        <n v="100.2"/>
        <n v="9.0"/>
        <n v="207.98"/>
        <n v="52.38"/>
        <n v="777.64"/>
        <n v="230.0"/>
        <n v="149.98"/>
        <n v="69.9"/>
        <n v="159.96"/>
        <n v="53.95"/>
        <n v="277.41"/>
        <n v="63.45"/>
        <n v="33.9"/>
        <n v="3.0"/>
        <n v="24.0"/>
        <n v="36.56"/>
        <n v="79.88"/>
        <n v="78.5"/>
        <n v="12.38"/>
        <n v="68.8"/>
        <n v="40.0"/>
        <n v="286.9"/>
        <n v="23.1"/>
        <n v="23.0"/>
        <n v="35.0"/>
        <n v="155.39"/>
        <n v="64.86"/>
        <n v="45.94"/>
        <n v="60.0"/>
        <n v="93.58"/>
        <n v="144.7"/>
        <n v="8.11"/>
        <n v="15.0"/>
        <n v="119.69"/>
        <n v="26.5"/>
        <n v="328.55"/>
        <n v="179.0"/>
        <n v="246.99"/>
        <n v="51.93"/>
        <n v="675.23"/>
        <n v="93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  <s v="Bradesco cc"/>
        <s v="Pix Bradesco cc"/>
        <s v="Bradesco Visa Electron"/>
        <s v="pix Nubank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8" sheet="mar25"/>
  </cacheSource>
  <cacheFields>
    <cacheField name="Descricao" numFmtId="0">
      <sharedItems>
        <s v="escolar Arthur"/>
        <s v="Faculdade Aline"/>
        <s v="Dentista Arthur"/>
        <s v="Conta de energia"/>
        <s v="internet fixa"/>
        <s v="internet TIM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ndominio"/>
        <s v="Recarga"/>
        <s v="Pix Aline"/>
        <s v="Brownie"/>
        <s v="Latam Gateway"/>
        <s v="Casa linda"/>
        <s v="Bazar agroverde"/>
        <s v="Universidadedasco"/>
        <s v="Sefaz"/>
        <s v="Doce Energia"/>
        <s v="TudoDeVet"/>
        <s v="Sacolao barateiro"/>
        <s v="ObraTelhadoPainelSolar"/>
        <s v="Pix Philippe"/>
        <s v="Aliexpress"/>
        <s v="Recarga Arthur"/>
        <s v="PADARIA DELICIA DE ITA"/>
        <s v="MERCADO NOVO RIO"/>
        <s v="REDE ECONOMIA"/>
        <s v="GLADIADOR PET SHOP"/>
        <s v="CASAS PEDRO"/>
        <s v="HORTIFRUTI MARQUES DE"/>
        <s v="MAGAZINE TORRA TORRA L"/>
        <s v="LOJAS AMERICANAS 87"/>
        <s v="PES E PATAS COMERCIO D"/>
        <s v="ATACADAO 0202 AS"/>
        <s v="POSTO DE GASOLINA HALL"/>
        <s v="LGM DISTRIBUIDORA E CO"/>
        <s v="MP*OUROLUXSOLAR 1/12"/>
        <s v="SAMANTA CORREA MEZINES"/>
        <s v="DECATHLON 1/2"/>
        <s v="KALUNGA SHOP NITEROI"/>
        <s v="ASSAI ATACADISTA  LJ35"/>
        <s v="AUTO POSTO T"/>
        <s v="G PET SHOP"/>
        <s v="GrupoIdeal"/>
        <s v="CASSEL FRUTAS"/>
        <s v="RAIA3421"/>
        <s v="CIA DO DOCE"/>
        <s v="BURGER KING"/>
        <s v="MURALHA"/>
        <s v="HF STUDIOHAIR"/>
        <s v="POSTO VIP CANECO NOVEN"/>
        <s v="KAMARO RACOES"/>
        <s v="PET SHOP VOVO ZUZU"/>
        <s v="SUPERMERCADO GUANABARA"/>
        <s v="PURO GAS"/>
        <s v="CARREFOUR - ALCANTARA"/>
        <s v="O BOTICARIO"/>
        <s v="SACOLAO DO BARATEIRO"/>
        <s v="KI CHOPP"/>
        <s v="JOLUKAR COMUNICACAO VI"/>
        <s v="CARREFOUR COM 2/8"/>
        <s v="Futebol"/>
        <s v="Mercado livre"/>
        <s v="Petz "/>
        <s v="Cobasi"/>
        <s v="Mp Frederico"/>
      </sharedItems>
    </cacheField>
    <cacheField name="dia" numFmtId="0">
      <sharedItems containsSemiMixedTypes="0" containsString="0" containsNumber="1" containsInteger="1">
        <n v="5.0"/>
        <n v="14.0"/>
        <n v="11.0"/>
        <n v="25.0"/>
        <n v="30.0"/>
        <n v="16.0"/>
        <n v="29.0"/>
        <n v="2.0"/>
        <n v="15.0"/>
        <n v="8.0"/>
        <n v="27.0"/>
        <n v="10.0"/>
        <n v="6.0"/>
        <n v="12.0"/>
        <n v="13.0"/>
        <n v="18.0"/>
        <n v="20.0"/>
        <n v="31.0"/>
        <n v="24.0"/>
        <n v="23.0"/>
        <n v="22.0"/>
        <n v="19.0"/>
        <n v="17.0"/>
        <n v="9.0"/>
        <n v="7.0"/>
        <n v="3.0"/>
        <n v="1.0"/>
        <n v="0.0"/>
        <n v="28.0"/>
      </sharedItems>
    </cacheField>
    <cacheField name="valor" numFmtId="166">
      <sharedItems containsSemiMixedTypes="0" containsString="0" containsNumber="1">
        <n v="789.0"/>
        <n v="695.78"/>
        <n v="140.0"/>
        <n v="0.0"/>
        <n v="132.55"/>
        <n v="99.9"/>
        <n v="19.95"/>
        <n v="27.99"/>
        <n v="44.9"/>
        <n v="244.12"/>
        <n v="215.8"/>
        <n v="20.0"/>
        <n v="30.0"/>
        <n v="630.0"/>
        <n v="10.0"/>
        <n v="200.0"/>
        <n v="68.5"/>
        <n v="12.9"/>
        <n v="8.0"/>
        <n v="208.46"/>
        <n v="7.0"/>
        <n v="95.4"/>
        <n v="6.95"/>
        <n v="700.0"/>
        <n v="-730.0"/>
        <n v="178.84"/>
        <n v="102.0"/>
        <n v="4.0"/>
        <n v="39.0"/>
        <n v="23.75"/>
        <n v="133.9"/>
        <n v="36.27"/>
        <n v="35.06"/>
        <n v="14.99"/>
        <n v="53.44"/>
        <n v="100.2"/>
        <n v="9.0"/>
        <n v="207.98"/>
        <n v="52.38"/>
        <n v="777.64"/>
        <n v="230.0"/>
        <n v="149.98"/>
        <n v="69.9"/>
        <n v="159.96"/>
        <n v="53.95"/>
        <n v="277.41"/>
        <n v="63.45"/>
        <n v="33.9"/>
        <n v="3.0"/>
        <n v="24.0"/>
        <n v="36.56"/>
        <n v="79.88"/>
        <n v="78.5"/>
        <n v="12.38"/>
        <n v="68.8"/>
        <n v="40.0"/>
        <n v="286.9"/>
        <n v="23.1"/>
        <n v="23.0"/>
        <n v="35.0"/>
        <n v="155.39"/>
        <n v="64.86"/>
        <n v="45.94"/>
        <n v="60.0"/>
        <n v="93.58"/>
        <n v="144.7"/>
        <n v="8.11"/>
        <n v="15.0"/>
        <n v="119.69"/>
        <n v="26.5"/>
        <n v="328.55"/>
        <n v="179.0"/>
        <n v="246.99"/>
        <n v="51.93"/>
        <n v="675.23"/>
        <n v="93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Bradesco cartoes"/>
        <s v="debito automatico"/>
        <s v="nubank card"/>
        <s v="Pix"/>
        <s v="Bradesco cc"/>
        <s v="Pix Bradesco cc"/>
        <s v="Bradesco Visa Electron"/>
        <s v="pix Nubank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dentista"/>
        <s v="Energia"/>
        <s v="Internet"/>
        <s v="Internet movel"/>
        <s v="streaming"/>
        <s v="contabilidade"/>
        <s v="seguro"/>
        <s v="cursos"/>
        <s v="academia"/>
        <s v="manutenção domiciliar"/>
        <s v="pix aline"/>
        <s v="Lazer"/>
        <s v="outros"/>
        <s v="Manutenção casa"/>
        <s v="estacionamentos"/>
        <s v="manutencao veicular"/>
        <s v="Pet"/>
        <s v="Feira"/>
        <s v="painel solar"/>
        <s v="Padaria"/>
        <s v="mercado"/>
        <s v="Vestuario"/>
        <s v="gift"/>
        <s v="combustivel"/>
        <s v="utilizades domesticas"/>
        <s v="farmacia"/>
        <s v="Cabeleireiro"/>
        <s v="reforma casa"/>
      </sharedItems>
    </cacheField>
  </cacheFields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set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Amazon "/>
        <s v="petz"/>
        <s v="Pag*Steam"/>
        <s v="restaurante da familia"/>
        <s v="sams club"/>
        <s v="lgmdistribuidora"/>
        <s v="grupoIdeal"/>
        <s v="Epar"/>
        <s v="Burger king"/>
        <s v="padaria"/>
        <s v="PostoVipCanecoNoven"/>
        <s v="PuroGas"/>
        <s v="Denair"/>
        <s v="pank motos"/>
        <s v="sacolao do barateiro"/>
        <s v="StarLink"/>
        <s v="Iof S/Trans inter Reais"/>
        <s v="Gabriela Marinho"/>
        <s v="casa pedro"/>
        <s v="Drogaria tamoio"/>
        <s v="Drogaria Pacheco"/>
        <s v="Nosso Park Estacionamento"/>
        <s v="Puro gas"/>
        <s v="finpet"/>
        <s v="carrefourManilha"/>
        <s v="CarrefourPost"/>
        <s v="Atacatao"/>
        <s v="Sacolao de nova cidade"/>
        <s v="Supermercado Guanabara"/>
        <s v="pes e patas"/>
        <s v="cacula sao goncalo"/>
        <s v="kik"/>
        <s v="Top Arena"/>
        <s v="hortfruit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boticari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  <n v="6.0"/>
        <n v="7.0"/>
        <n v="9.0"/>
        <n v="10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695.0"/>
        <n v="795.22"/>
        <n v="0.0"/>
        <n v="521.44"/>
        <n v="129.0"/>
        <n v="88.0"/>
        <n v="19.95"/>
        <n v="17.99"/>
        <n v="100.46"/>
        <n v="44.9"/>
        <n v="218.5"/>
        <n v="215.8"/>
        <n v="65.0"/>
        <n v="480.0"/>
        <n v="63.5"/>
        <n v="379.52"/>
        <n v="61.29"/>
        <n v="32.0"/>
        <n v="163.94"/>
        <n v="7.0"/>
        <n v="24.0"/>
        <n v="17.0"/>
        <n v="54.9"/>
        <n v="4.0"/>
        <n v="50.0"/>
        <n v="64.97"/>
        <n v="116.0"/>
        <n v="295.0"/>
        <n v="8.0"/>
        <n v="1696.42"/>
        <n v="74.3"/>
        <n v="200.0"/>
        <n v="84.35"/>
        <n v="24.1"/>
        <n v="45.44"/>
        <n v="5.0"/>
        <n v="9.0"/>
        <n v="230.0"/>
        <n v="40.0"/>
        <n v="25.65"/>
        <n v="52.71"/>
        <n v="105.31"/>
        <n v="110.0"/>
        <n v="23.0"/>
        <n v="99.0"/>
        <n v="16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set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Amazon "/>
        <s v="petz"/>
        <s v="Pag*Steam"/>
        <s v="restaurante da familia"/>
        <s v="sams club"/>
        <s v="lgmdistribuidora"/>
        <s v="grupoIdeal"/>
        <s v="Epar"/>
        <s v="Burger king"/>
        <s v="padaria"/>
        <s v="PostoVipCanecoNoven"/>
        <s v="PuroGas"/>
        <s v="Denair"/>
        <s v="pank motos"/>
        <s v="sacolao do barateiro"/>
        <s v="StarLink"/>
        <s v="Iof S/Trans inter Reais"/>
        <s v="Gabriela Marinho"/>
        <s v="casa pedro"/>
        <s v="Drogaria tamoio"/>
        <s v="Drogaria Pacheco"/>
        <s v="Nosso Park Estacionamento"/>
        <s v="Puro gas"/>
        <s v="finpet"/>
        <s v="carrefourManilha"/>
        <s v="CarrefourPost"/>
        <s v="Atacatao"/>
        <s v="Sacolao de nova cidade"/>
        <s v="Supermercado Guanabara"/>
        <s v="pes e patas"/>
        <s v="cacula sao goncalo"/>
        <s v="kik"/>
        <s v="Top Arena"/>
        <s v="hortfruit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boticari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  <n v="6.0"/>
        <n v="7.0"/>
        <n v="9.0"/>
        <n v="10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695.0"/>
        <n v="795.22"/>
        <n v="0.0"/>
        <n v="521.44"/>
        <n v="129.0"/>
        <n v="88.0"/>
        <n v="19.95"/>
        <n v="17.99"/>
        <n v="100.46"/>
        <n v="44.9"/>
        <n v="218.5"/>
        <n v="215.8"/>
        <n v="65.0"/>
        <n v="480.0"/>
        <n v="63.5"/>
        <n v="379.52"/>
        <n v="61.29"/>
        <n v="32.0"/>
        <n v="163.94"/>
        <n v="7.0"/>
        <n v="24.0"/>
        <n v="17.0"/>
        <n v="54.9"/>
        <n v="4.0"/>
        <n v="50.0"/>
        <n v="64.97"/>
        <n v="116.0"/>
        <n v="295.0"/>
        <n v="8.0"/>
        <n v="1696.42"/>
        <n v="74.3"/>
        <n v="200.0"/>
        <n v="84.35"/>
        <n v="24.1"/>
        <n v="45.44"/>
        <n v="5.0"/>
        <n v="9.0"/>
        <n v="230.0"/>
        <n v="40.0"/>
        <n v="25.65"/>
        <n v="52.71"/>
        <n v="105.31"/>
        <n v="110.0"/>
        <n v="23.0"/>
        <n v="99.0"/>
        <n v="16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set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Amazon "/>
        <s v="petz"/>
        <s v="Pag*Steam"/>
        <s v="restaurante da familia"/>
        <s v="sams club"/>
        <s v="lgmdistribuidora"/>
        <s v="grupoIdeal"/>
        <s v="Epar"/>
        <s v="Burger king"/>
        <s v="padaria"/>
        <s v="PostoVipCanecoNoven"/>
        <s v="PuroGas"/>
        <s v="Denair"/>
        <s v="pank motos"/>
        <s v="sacolao do barateiro"/>
        <s v="StarLink"/>
        <s v="Iof S/Trans inter Reais"/>
        <s v="Gabriela Marinho"/>
        <s v="casa pedro"/>
        <s v="Drogaria tamoio"/>
        <s v="Drogaria Pacheco"/>
        <s v="Nosso Park Estacionamento"/>
        <s v="Puro gas"/>
        <s v="finpet"/>
        <s v="carrefourManilha"/>
        <s v="CarrefourPost"/>
        <s v="Atacatao"/>
        <s v="Sacolao de nova cidade"/>
        <s v="Supermercado Guanabara"/>
        <s v="pes e patas"/>
        <s v="cacula sao goncalo"/>
        <s v="kik"/>
        <s v="Top Arena"/>
        <s v="hortfruit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boticari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  <n v="6.0"/>
        <n v="7.0"/>
        <n v="9.0"/>
        <n v="10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695.0"/>
        <n v="795.22"/>
        <n v="0.0"/>
        <n v="521.44"/>
        <n v="129.0"/>
        <n v="88.0"/>
        <n v="19.95"/>
        <n v="17.99"/>
        <n v="100.46"/>
        <n v="44.9"/>
        <n v="218.5"/>
        <n v="215.8"/>
        <n v="65.0"/>
        <n v="480.0"/>
        <n v="63.5"/>
        <n v="379.52"/>
        <n v="61.29"/>
        <n v="32.0"/>
        <n v="163.94"/>
        <n v="7.0"/>
        <n v="24.0"/>
        <n v="17.0"/>
        <n v="54.9"/>
        <n v="4.0"/>
        <n v="50.0"/>
        <n v="64.97"/>
        <n v="116.0"/>
        <n v="295.0"/>
        <n v="8.0"/>
        <n v="1696.42"/>
        <n v="74.3"/>
        <n v="200.0"/>
        <n v="84.35"/>
        <n v="24.1"/>
        <n v="45.44"/>
        <n v="5.0"/>
        <n v="9.0"/>
        <n v="230.0"/>
        <n v="40.0"/>
        <n v="25.65"/>
        <n v="52.71"/>
        <n v="105.31"/>
        <n v="110.0"/>
        <n v="23.0"/>
        <n v="99.0"/>
        <n v="16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gift"/>
        <s v="Pet"/>
        <s v="mercado"/>
        <s v="Padaria"/>
        <s v="outros"/>
        <s v="manutencao veicular"/>
        <s v="Feira"/>
        <s v="farmacia"/>
        <s v="estacionamentos"/>
        <s v="manutenção domiciliar"/>
        <s v="Vestuario"/>
      </sharedItems>
    </cacheField>
  </cacheFields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jun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padaria"/>
        <s v="Puro gas"/>
        <s v="Riachuelo"/>
        <s v="Burger king"/>
        <s v="hortfruit"/>
        <s v="Drogaria tamoio"/>
        <s v="Sacolao barateiro"/>
        <s v="farmacia apolo x"/>
        <s v="Katarynedamotta"/>
        <s v="Carrefour Manilha"/>
        <s v="GOlden fruit itauna"/>
        <s v="Alipay"/>
        <s v="Drogarias Pacheco"/>
        <s v="intercont Supermac"/>
        <s v="Esfirra trindade"/>
        <s v="ton acai"/>
        <s v="lj23 sh sao goncalo"/>
        <s v="Auto Posto Monteiros D"/>
        <s v="cia do doce"/>
        <s v="boticario"/>
        <s v="Carrefour 212"/>
        <s v="pes e patas"/>
        <s v="Topfabuloso"/>
        <s v="Bazar Agroverde"/>
        <s v="Auto posto Ens"/>
        <s v="Tatianaflores"/>
        <s v="cacula sao goncalo"/>
        <s v="kik"/>
        <s v="Top Arena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casa pedr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4.0"/>
        <n v="6.0"/>
        <n v="7.0"/>
        <n v="12.0"/>
        <n v="13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66.66"/>
        <n v="17.99"/>
        <n v="100.46"/>
        <n v="39.9"/>
        <n v="218.5"/>
        <n v="199.8"/>
        <n v="65.0"/>
        <n v="480.0"/>
        <n v="4.0"/>
        <n v="30.0"/>
        <n v="169.7"/>
        <n v="57.9"/>
        <n v="15.85"/>
        <n v="109.28"/>
        <n v="18.6"/>
        <n v="10.99"/>
        <n v="20.0"/>
        <n v="5.5"/>
        <n v="28.27"/>
        <n v="9.0"/>
        <n v="-33.88"/>
        <n v="36.47"/>
        <n v="5.24"/>
        <n v="53.0"/>
        <n v="12.0"/>
        <n v="112.94"/>
        <n v="62.13"/>
        <n v="54.19"/>
        <n v="116.9"/>
        <n v="181.14"/>
        <n v="97.9"/>
        <n v="44.15"/>
        <n v="17.8"/>
        <n v="20.99"/>
        <n v="38.5"/>
        <n v="40.0"/>
        <n v="21.98"/>
        <n v="11.7"/>
        <n v="7.99"/>
        <n v="41.99"/>
        <n v="54.9"/>
        <n v="34.99"/>
        <n v="24.28"/>
        <n v="38.0"/>
        <n v="13.5"/>
        <n v="60.93"/>
        <n v="213.36"/>
        <n v="34.46"/>
        <n v="12.1"/>
        <n v="269.46"/>
        <n v="49.06"/>
        <n v="19.99"/>
        <n v="52.24"/>
        <n v="58.0"/>
        <n v="29.0"/>
        <n v="16.0"/>
        <n v="10.0"/>
        <n v="91.79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jun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padaria"/>
        <s v="Puro gas"/>
        <s v="Riachuelo"/>
        <s v="Burger king"/>
        <s v="hortfruit"/>
        <s v="Drogaria tamoio"/>
        <s v="Sacolao barateiro"/>
        <s v="farmacia apolo x"/>
        <s v="Katarynedamotta"/>
        <s v="Carrefour Manilha"/>
        <s v="GOlden fruit itauna"/>
        <s v="Alipay"/>
        <s v="Drogarias Pacheco"/>
        <s v="intercont Supermac"/>
        <s v="Esfirra trindade"/>
        <s v="ton acai"/>
        <s v="lj23 sh sao goncalo"/>
        <s v="Auto Posto Monteiros D"/>
        <s v="cia do doce"/>
        <s v="boticario"/>
        <s v="Carrefour 212"/>
        <s v="pes e patas"/>
        <s v="Topfabuloso"/>
        <s v="Bazar Agroverde"/>
        <s v="Auto posto Ens"/>
        <s v="Tatianaflores"/>
        <s v="cacula sao goncalo"/>
        <s v="kik"/>
        <s v="Top Arena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casa pedr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4.0"/>
        <n v="6.0"/>
        <n v="7.0"/>
        <n v="12.0"/>
        <n v="13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66.66"/>
        <n v="17.99"/>
        <n v="100.46"/>
        <n v="39.9"/>
        <n v="218.5"/>
        <n v="199.8"/>
        <n v="65.0"/>
        <n v="480.0"/>
        <n v="4.0"/>
        <n v="30.0"/>
        <n v="169.7"/>
        <n v="57.9"/>
        <n v="15.85"/>
        <n v="109.28"/>
        <n v="18.6"/>
        <n v="10.99"/>
        <n v="20.0"/>
        <n v="5.5"/>
        <n v="28.27"/>
        <n v="9.0"/>
        <n v="-33.88"/>
        <n v="36.47"/>
        <n v="5.24"/>
        <n v="53.0"/>
        <n v="12.0"/>
        <n v="112.94"/>
        <n v="62.13"/>
        <n v="54.19"/>
        <n v="116.9"/>
        <n v="181.14"/>
        <n v="97.9"/>
        <n v="44.15"/>
        <n v="17.8"/>
        <n v="20.99"/>
        <n v="38.5"/>
        <n v="40.0"/>
        <n v="21.98"/>
        <n v="11.7"/>
        <n v="7.99"/>
        <n v="41.99"/>
        <n v="54.9"/>
        <n v="34.99"/>
        <n v="24.28"/>
        <n v="38.0"/>
        <n v="13.5"/>
        <n v="60.93"/>
        <n v="213.36"/>
        <n v="34.46"/>
        <n v="12.1"/>
        <n v="269.46"/>
        <n v="49.06"/>
        <n v="19.99"/>
        <n v="52.24"/>
        <n v="58.0"/>
        <n v="29.0"/>
        <n v="16.0"/>
        <n v="10.0"/>
        <n v="91.79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jun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padaria"/>
        <s v="Puro gas"/>
        <s v="Riachuelo"/>
        <s v="Burger king"/>
        <s v="hortfruit"/>
        <s v="Drogaria tamoio"/>
        <s v="Sacolao barateiro"/>
        <s v="farmacia apolo x"/>
        <s v="Katarynedamotta"/>
        <s v="Carrefour Manilha"/>
        <s v="GOlden fruit itauna"/>
        <s v="Alipay"/>
        <s v="Drogarias Pacheco"/>
        <s v="intercont Supermac"/>
        <s v="Esfirra trindade"/>
        <s v="ton acai"/>
        <s v="lj23 sh sao goncalo"/>
        <s v="Auto Posto Monteiros D"/>
        <s v="cia do doce"/>
        <s v="boticario"/>
        <s v="Carrefour 212"/>
        <s v="pes e patas"/>
        <s v="Topfabuloso"/>
        <s v="Bazar Agroverde"/>
        <s v="Auto posto Ens"/>
        <s v="Tatianaflores"/>
        <s v="cacula sao goncalo"/>
        <s v="kik"/>
        <s v="Top Arena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casa pedr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4.0"/>
        <n v="6.0"/>
        <n v="7.0"/>
        <n v="12.0"/>
        <n v="13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66.66"/>
        <n v="17.99"/>
        <n v="100.46"/>
        <n v="39.9"/>
        <n v="218.5"/>
        <n v="199.8"/>
        <n v="65.0"/>
        <n v="480.0"/>
        <n v="4.0"/>
        <n v="30.0"/>
        <n v="169.7"/>
        <n v="57.9"/>
        <n v="15.85"/>
        <n v="109.28"/>
        <n v="18.6"/>
        <n v="10.99"/>
        <n v="20.0"/>
        <n v="5.5"/>
        <n v="28.27"/>
        <n v="9.0"/>
        <n v="-33.88"/>
        <n v="36.47"/>
        <n v="5.24"/>
        <n v="53.0"/>
        <n v="12.0"/>
        <n v="112.94"/>
        <n v="62.13"/>
        <n v="54.19"/>
        <n v="116.9"/>
        <n v="181.14"/>
        <n v="97.9"/>
        <n v="44.15"/>
        <n v="17.8"/>
        <n v="20.99"/>
        <n v="38.5"/>
        <n v="40.0"/>
        <n v="21.98"/>
        <n v="11.7"/>
        <n v="7.99"/>
        <n v="41.99"/>
        <n v="54.9"/>
        <n v="34.99"/>
        <n v="24.28"/>
        <n v="38.0"/>
        <n v="13.5"/>
        <n v="60.93"/>
        <n v="213.36"/>
        <n v="34.46"/>
        <n v="12.1"/>
        <n v="269.46"/>
        <n v="49.06"/>
        <n v="19.99"/>
        <n v="52.24"/>
        <n v="58.0"/>
        <n v="29.0"/>
        <n v="16.0"/>
        <n v="10.0"/>
        <n v="91.79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Padaria"/>
        <s v="Vestuario"/>
        <s v="Feira"/>
        <s v="farmacia"/>
        <s v="outros"/>
        <s v="mercado"/>
        <s v="projetos"/>
        <s v="gift"/>
        <s v="Pet"/>
        <s v="manutenção domiciliar"/>
        <s v="estacionamentos"/>
        <s v="manutencao veicular"/>
      </sharedItems>
    </cacheField>
  </cacheFields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jul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 pag(anual jun24)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padaria"/>
        <s v="Puro gas"/>
        <s v="Riachuelo"/>
        <s v="Burger king"/>
        <s v="hortfruit"/>
        <s v="Drogaria tamoio"/>
        <s v="Sacolao barateiro"/>
        <s v="farmacia apolo x"/>
        <s v="Katarynedamotta"/>
        <s v="Carrefour Manilha"/>
        <s v="GOlden fruit itauna"/>
        <s v="Alipay"/>
        <s v="Drogarias Pacheco"/>
        <s v="intercont Supermac"/>
        <s v="Esfirra trindade"/>
        <s v="ton acai"/>
        <s v="lj23 sh sao goncalo"/>
        <s v="Auto Posto Monteiros D"/>
        <s v="cia do doce"/>
        <s v="boticario"/>
        <s v="Carrefour 212"/>
        <s v="pes e patas"/>
        <s v="Topfabuloso"/>
        <s v="Bazar Agroverde"/>
        <s v="Auto posto Ens"/>
        <s v="Tatianaflores"/>
        <s v="cacula sao goncalo"/>
        <s v="kik"/>
        <s v="Top Arena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casa pedr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4.0"/>
        <n v="6.0"/>
        <n v="7.0"/>
        <n v="12.0"/>
        <n v="13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7.99"/>
        <n v="100.46"/>
        <n v="39.9"/>
        <n v="218.5"/>
        <n v="199.8"/>
        <n v="65.0"/>
        <n v="480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jul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 pag(anual jun24)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padaria"/>
        <s v="Puro gas"/>
        <s v="Riachuelo"/>
        <s v="Burger king"/>
        <s v="hortfruit"/>
        <s v="Drogaria tamoio"/>
        <s v="Sacolao barateiro"/>
        <s v="farmacia apolo x"/>
        <s v="Katarynedamotta"/>
        <s v="Carrefour Manilha"/>
        <s v="GOlden fruit itauna"/>
        <s v="Alipay"/>
        <s v="Drogarias Pacheco"/>
        <s v="intercont Supermac"/>
        <s v="Esfirra trindade"/>
        <s v="ton acai"/>
        <s v="lj23 sh sao goncalo"/>
        <s v="Auto Posto Monteiros D"/>
        <s v="cia do doce"/>
        <s v="boticario"/>
        <s v="Carrefour 212"/>
        <s v="pes e patas"/>
        <s v="Topfabuloso"/>
        <s v="Bazar Agroverde"/>
        <s v="Auto posto Ens"/>
        <s v="Tatianaflores"/>
        <s v="cacula sao goncalo"/>
        <s v="kik"/>
        <s v="Top Arena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casa pedr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4.0"/>
        <n v="6.0"/>
        <n v="7.0"/>
        <n v="12.0"/>
        <n v="13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7.99"/>
        <n v="100.46"/>
        <n v="39.9"/>
        <n v="218.5"/>
        <n v="199.8"/>
        <n v="65.0"/>
        <n v="480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jul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 pag(anual jun24)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padaria"/>
        <s v="Puro gas"/>
        <s v="Riachuelo"/>
        <s v="Burger king"/>
        <s v="hortfruit"/>
        <s v="Drogaria tamoio"/>
        <s v="Sacolao barateiro"/>
        <s v="farmacia apolo x"/>
        <s v="Katarynedamotta"/>
        <s v="Carrefour Manilha"/>
        <s v="GOlden fruit itauna"/>
        <s v="Alipay"/>
        <s v="Drogarias Pacheco"/>
        <s v="intercont Supermac"/>
        <s v="Esfirra trindade"/>
        <s v="ton acai"/>
        <s v="lj23 sh sao goncalo"/>
        <s v="Auto Posto Monteiros D"/>
        <s v="cia do doce"/>
        <s v="boticario"/>
        <s v="Carrefour 212"/>
        <s v="pes e patas"/>
        <s v="Topfabuloso"/>
        <s v="Bazar Agroverde"/>
        <s v="Auto posto Ens"/>
        <s v="Tatianaflores"/>
        <s v="cacula sao goncalo"/>
        <s v="kik"/>
        <s v="Top Arena"/>
        <s v="fabrica de bolo vo az"/>
        <s v="carrefour manilha "/>
        <s v="Lojas Americanas"/>
        <s v="Outback"/>
        <s v="Carrefour Cal 212"/>
        <s v="Grupo Ideal"/>
        <s v="Assai atacadista"/>
        <s v="Grupo genius brasil p"/>
        <s v="Carrefour posto"/>
        <s v="Alexandre"/>
        <s v="edinilzaborges"/>
        <s v="ton lehmonada"/>
        <s v="Alypay Brasil"/>
        <s v="Aliexpress"/>
        <s v="corte arthur"/>
        <s v="jogo steam"/>
        <s v="troca de oleo cambio"/>
        <s v="lava a jato"/>
        <s v="tomografia AMY"/>
        <s v="recarga chip honda"/>
        <s v="tudo de vet"/>
        <s v="casa pedr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4.0"/>
        <n v="6.0"/>
        <n v="7.0"/>
        <n v="12.0"/>
        <n v="13.0"/>
        <n v="17.0"/>
        <n v="18.0"/>
        <n v="19.0"/>
        <n v="21.0"/>
        <n v="23.0"/>
        <n v="24.0"/>
        <n v="25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7.99"/>
        <n v="100.46"/>
        <n v="39.9"/>
        <n v="218.5"/>
        <n v="199.8"/>
        <n v="65.0"/>
        <n v="480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Padaria"/>
        <s v="Vestuario"/>
        <s v="Feira"/>
        <s v="farmacia"/>
        <s v="outros"/>
        <s v="mercado"/>
        <s v="projetos"/>
        <s v="gift"/>
        <s v="Pet"/>
        <s v="manutenção domiciliar"/>
        <s v="estacionamentos"/>
        <s v="manutencao veicular"/>
      </sharedItems>
    </cacheField>
  </cacheFields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maio24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inter"/>
        <s v="Drogaria tamoio"/>
        <s v="sacolao barateiro"/>
        <s v="grupo genius brasil p"/>
        <s v="atacadao 202"/>
        <s v="pes e patas"/>
        <s v="puro gas"/>
        <s v="muralha"/>
        <s v="lgmdistribuidorae"/>
        <s v="padaria "/>
        <s v="katarynedamotta"/>
        <s v="r de brito neto"/>
        <s v="auto posto ens"/>
        <s v="padaria"/>
        <s v="carrefour"/>
        <s v="carrefour manilha"/>
        <s v="top arena"/>
        <s v="feira"/>
        <s v="MPlanchonete"/>
        <s v="puro gas mutua"/>
        <s v="to aki estacionamento 11"/>
        <s v="ton personalize"/>
        <s v="adonai"/>
        <s v="hortfruit"/>
        <s v="pernambucanas"/>
        <s v="mc donalds"/>
        <s v="lanchonete patio alcantara"/>
        <s v="casa pedro"/>
        <s v="cia do doce"/>
        <s v="sams clib"/>
        <s v="GOlden fruit itauna"/>
        <s v="GrupoIdeal"/>
        <s v="hs cortes Madeiras E F"/>
        <s v="Burger king"/>
        <s v="Guanabara"/>
        <s v="Casa e video"/>
        <s v="Assai atacadista"/>
        <s v="Antonia lindalva leal"/>
        <s v="Carrefour Cal 212"/>
        <s v="Lojas Americanas"/>
        <s v="Casas Pedro"/>
        <s v="Alypay Brasil"/>
        <s v="Aliexpress"/>
        <s v="petz"/>
        <s v="mercado livre"/>
        <s v="clodflare"/>
        <s v="iof clodflare"/>
        <m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  <n v="6.0"/>
        <n v="9.0"/>
        <n v="12.0"/>
        <n v="17.0"/>
        <n v="19.0"/>
        <n v="21.0"/>
        <n v="22.0"/>
        <n v="24.0"/>
        <n v="25.0"/>
        <n v="1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4.9"/>
        <n v="17.99"/>
        <n v="100.46"/>
        <n v="39.9"/>
        <n v="218.5"/>
        <n v="199.8"/>
        <n v="65.0"/>
        <n v="480.0"/>
        <n v="20.97"/>
        <n v="11.98"/>
        <n v="25.19"/>
        <n v="50.2"/>
        <n v="280.94"/>
        <n v="226.77"/>
        <n v="40.0"/>
        <n v="30.0"/>
        <n v="4.0"/>
        <n v="20.0"/>
        <n v="89.9"/>
        <n v="50.0"/>
        <n v="71.35"/>
        <n v="45.8"/>
        <n v="9.0"/>
        <n v="12.6"/>
        <n v="8.0"/>
        <n v="102.25"/>
        <n v="49.9"/>
        <n v="5.1"/>
        <n v="22.25"/>
        <n v="26.0"/>
        <n v="128.96"/>
        <n v="30.9"/>
        <n v="62.8"/>
        <n v="21.75"/>
        <n v="34.8"/>
        <n v="108.94"/>
        <n v="38.23"/>
        <n v="22.19"/>
        <n v="223.29"/>
        <n v="7.26"/>
        <n v="25.0"/>
        <n v="39.8"/>
        <n v="24.99"/>
        <n v="254.51"/>
        <n v="107.9"/>
        <n v="42.68"/>
        <n v="46.86"/>
        <n v="32.15"/>
        <n v="7.6"/>
        <n v="69.84"/>
        <n v="29.97"/>
        <n v="48.33"/>
        <n v="120.82"/>
        <n v="72.71"/>
        <n v="257.72"/>
        <n v="591.51"/>
        <n v="358.18"/>
        <n v="109.99"/>
        <n v="183.9"/>
        <n v="772.82"/>
        <n v="52.55"/>
        <n v="2.3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maio24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inter"/>
        <s v="Drogaria tamoio"/>
        <s v="sacolao barateiro"/>
        <s v="grupo genius brasil p"/>
        <s v="atacadao 202"/>
        <s v="pes e patas"/>
        <s v="puro gas"/>
        <s v="muralha"/>
        <s v="lgmdistribuidorae"/>
        <s v="padaria "/>
        <s v="katarynedamotta"/>
        <s v="r de brito neto"/>
        <s v="auto posto ens"/>
        <s v="padaria"/>
        <s v="carrefour"/>
        <s v="carrefour manilha"/>
        <s v="top arena"/>
        <s v="feira"/>
        <s v="MPlanchonete"/>
        <s v="puro gas mutua"/>
        <s v="to aki estacionamento 11"/>
        <s v="ton personalize"/>
        <s v="adonai"/>
        <s v="hortfruit"/>
        <s v="pernambucanas"/>
        <s v="mc donalds"/>
        <s v="lanchonete patio alcantara"/>
        <s v="casa pedro"/>
        <s v="cia do doce"/>
        <s v="sams clib"/>
        <s v="GOlden fruit itauna"/>
        <s v="GrupoIdeal"/>
        <s v="hs cortes Madeiras E F"/>
        <s v="Burger king"/>
        <s v="Guanabara"/>
        <s v="Casa e video"/>
        <s v="Assai atacadista"/>
        <s v="Antonia lindalva leal"/>
        <s v="Carrefour Cal 212"/>
        <s v="Lojas Americanas"/>
        <s v="Casas Pedro"/>
        <s v="Alypay Brasil"/>
        <s v="Aliexpress"/>
        <s v="petz"/>
        <s v="mercado livre"/>
        <s v="clodflare"/>
        <s v="iof clodflare"/>
        <m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  <n v="6.0"/>
        <n v="9.0"/>
        <n v="12.0"/>
        <n v="17.0"/>
        <n v="19.0"/>
        <n v="21.0"/>
        <n v="22.0"/>
        <n v="24.0"/>
        <n v="25.0"/>
        <n v="1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4.9"/>
        <n v="17.99"/>
        <n v="100.46"/>
        <n v="39.9"/>
        <n v="218.5"/>
        <n v="199.8"/>
        <n v="65.0"/>
        <n v="480.0"/>
        <n v="20.97"/>
        <n v="11.98"/>
        <n v="25.19"/>
        <n v="50.2"/>
        <n v="280.94"/>
        <n v="226.77"/>
        <n v="40.0"/>
        <n v="30.0"/>
        <n v="4.0"/>
        <n v="20.0"/>
        <n v="89.9"/>
        <n v="50.0"/>
        <n v="71.35"/>
        <n v="45.8"/>
        <n v="9.0"/>
        <n v="12.6"/>
        <n v="8.0"/>
        <n v="102.25"/>
        <n v="49.9"/>
        <n v="5.1"/>
        <n v="22.25"/>
        <n v="26.0"/>
        <n v="128.96"/>
        <n v="30.9"/>
        <n v="62.8"/>
        <n v="21.75"/>
        <n v="34.8"/>
        <n v="108.94"/>
        <n v="38.23"/>
        <n v="22.19"/>
        <n v="223.29"/>
        <n v="7.26"/>
        <n v="25.0"/>
        <n v="39.8"/>
        <n v="24.99"/>
        <n v="254.51"/>
        <n v="107.9"/>
        <n v="42.68"/>
        <n v="46.86"/>
        <n v="32.15"/>
        <n v="7.6"/>
        <n v="69.84"/>
        <n v="29.97"/>
        <n v="48.33"/>
        <n v="120.82"/>
        <n v="72.71"/>
        <n v="257.72"/>
        <n v="591.51"/>
        <n v="358.18"/>
        <n v="109.99"/>
        <n v="183.9"/>
        <n v="772.82"/>
        <n v="52.55"/>
        <n v="2.3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maio24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inter"/>
        <s v="Drogaria tamoio"/>
        <s v="sacolao barateiro"/>
        <s v="grupo genius brasil p"/>
        <s v="atacadao 202"/>
        <s v="pes e patas"/>
        <s v="puro gas"/>
        <s v="muralha"/>
        <s v="lgmdistribuidorae"/>
        <s v="padaria "/>
        <s v="katarynedamotta"/>
        <s v="r de brito neto"/>
        <s v="auto posto ens"/>
        <s v="padaria"/>
        <s v="carrefour"/>
        <s v="carrefour manilha"/>
        <s v="top arena"/>
        <s v="feira"/>
        <s v="MPlanchonete"/>
        <s v="puro gas mutua"/>
        <s v="to aki estacionamento 11"/>
        <s v="ton personalize"/>
        <s v="adonai"/>
        <s v="hortfruit"/>
        <s v="pernambucanas"/>
        <s v="mc donalds"/>
        <s v="lanchonete patio alcantara"/>
        <s v="casa pedro"/>
        <s v="cia do doce"/>
        <s v="sams clib"/>
        <s v="GOlden fruit itauna"/>
        <s v="GrupoIdeal"/>
        <s v="hs cortes Madeiras E F"/>
        <s v="Burger king"/>
        <s v="Guanabara"/>
        <s v="Casa e video"/>
        <s v="Assai atacadista"/>
        <s v="Antonia lindalva leal"/>
        <s v="Carrefour Cal 212"/>
        <s v="Lojas Americanas"/>
        <s v="Casas Pedro"/>
        <s v="Alypay Brasil"/>
        <s v="Aliexpress"/>
        <s v="petz"/>
        <s v="mercado livre"/>
        <s v="clodflare"/>
        <s v="iof clodflare"/>
        <m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  <n v="6.0"/>
        <n v="9.0"/>
        <n v="12.0"/>
        <n v="17.0"/>
        <n v="19.0"/>
        <n v="21.0"/>
        <n v="22.0"/>
        <n v="24.0"/>
        <n v="25.0"/>
        <n v="1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4.9"/>
        <n v="17.99"/>
        <n v="100.46"/>
        <n v="39.9"/>
        <n v="218.5"/>
        <n v="199.8"/>
        <n v="65.0"/>
        <n v="480.0"/>
        <n v="20.97"/>
        <n v="11.98"/>
        <n v="25.19"/>
        <n v="50.2"/>
        <n v="280.94"/>
        <n v="226.77"/>
        <n v="40.0"/>
        <n v="30.0"/>
        <n v="4.0"/>
        <n v="20.0"/>
        <n v="89.9"/>
        <n v="50.0"/>
        <n v="71.35"/>
        <n v="45.8"/>
        <n v="9.0"/>
        <n v="12.6"/>
        <n v="8.0"/>
        <n v="102.25"/>
        <n v="49.9"/>
        <n v="5.1"/>
        <n v="22.25"/>
        <n v="26.0"/>
        <n v="128.96"/>
        <n v="30.9"/>
        <n v="62.8"/>
        <n v="21.75"/>
        <n v="34.8"/>
        <n v="108.94"/>
        <n v="38.23"/>
        <n v="22.19"/>
        <n v="223.29"/>
        <n v="7.26"/>
        <n v="25.0"/>
        <n v="39.8"/>
        <n v="24.99"/>
        <n v="254.51"/>
        <n v="107.9"/>
        <n v="42.68"/>
        <n v="46.86"/>
        <n v="32.15"/>
        <n v="7.6"/>
        <n v="69.84"/>
        <n v="29.97"/>
        <n v="48.33"/>
        <n v="120.82"/>
        <n v="72.71"/>
        <n v="257.72"/>
        <n v="591.51"/>
        <n v="358.18"/>
        <n v="109.99"/>
        <n v="183.9"/>
        <n v="772.82"/>
        <n v="52.55"/>
        <n v="2.3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mercado"/>
        <s v="farmacia"/>
        <s v="Feira"/>
        <s v="Pet"/>
        <s v="outros"/>
        <s v="Padaria"/>
        <s v="estacionamentos"/>
        <s v="gift"/>
        <s v="Vestuario"/>
        <s v="manutenção domiciliar"/>
        <s v="projetos"/>
      </sharedItems>
    </cacheField>
  </cacheFields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abril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JLojas americanas"/>
        <s v="lj26 sh sao goncalo"/>
        <s v="239 sao goncalo shopping"/>
        <s v="auto posto ens"/>
        <s v="HF Studiohair"/>
        <s v="puro gas"/>
        <s v="mercado novo rio"/>
        <s v="shopping das gramas"/>
        <s v="puro gas "/>
        <s v="rn solucoes financeiras"/>
        <s v="pes e patas"/>
        <s v="farmacia apolo x"/>
        <s v="padaria"/>
        <s v="katarynedamotta"/>
        <s v="drogaria tamoio"/>
        <s v="samanta correa"/>
        <s v="katiacristina"/>
        <s v="mundodaspecas"/>
        <s v="rede economia"/>
        <s v="lgmdistribuidorae"/>
        <s v="carrefour"/>
        <s v="atacadao 202"/>
        <s v="cassel frutas"/>
        <s v="shop do pijama"/>
        <s v="casa pedro"/>
        <s v="sams club"/>
        <s v="rede ecomonia"/>
        <s v="Drogaria pacheco"/>
        <s v="carrefour posto"/>
        <s v="carrefour manilha"/>
        <s v="dayse10comercio"/>
        <s v="o boticario"/>
        <s v="restaurante partage lt"/>
        <s v="elite note"/>
        <s v="grupoideal"/>
        <s v="publix"/>
        <s v="edineyguimaraes"/>
        <s v="cia do doce"/>
        <s v="bisturi"/>
        <s v="burger king"/>
        <s v="top arena"/>
        <s v="pasta di colina"/>
        <s v="propark"/>
        <s v="mina da prata partage"/>
        <s v="assai atacadista"/>
        <s v="cacula sao goncalo"/>
        <s v="sobrancelhas"/>
        <s v="lanche"/>
        <s v="estacionamento"/>
        <s v="hortfruit"/>
        <s v="corte arthur"/>
        <s v="jogo steam"/>
        <s v="troca de oleo cambio"/>
        <s v="lava a jato"/>
        <s v="tomografia AMY"/>
        <s v="recarga chip honda"/>
        <s v="tudo de vet"/>
        <s v="boticari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3.0"/>
        <n v="4.0"/>
        <n v="6.0"/>
        <n v="7.0"/>
        <n v="9.0"/>
        <n v="10.0"/>
        <n v="12.0"/>
        <n v="13.0"/>
        <n v="17.0"/>
        <n v="18.0"/>
        <n v="19.0"/>
        <n v="21.0"/>
        <n v="23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4.9"/>
        <n v="17.99"/>
        <n v="100.46"/>
        <n v="39.9"/>
        <n v="218.5"/>
        <n v="199.8"/>
        <n v="65.0"/>
        <n v="480.0"/>
        <n v="113.91"/>
        <n v="62.95"/>
        <n v="82.7"/>
        <n v="30.0"/>
        <n v="105.0"/>
        <n v="70.93"/>
        <n v="11.5"/>
        <n v="68.0"/>
        <n v="50.0"/>
        <n v="34.99"/>
        <n v="20.0"/>
        <n v="125.22"/>
        <n v="21.18"/>
        <n v="4.0"/>
        <n v="64.94"/>
        <n v="180.0"/>
        <n v="35.0"/>
        <n v="68.6"/>
        <n v="32.28"/>
        <n v="8.0"/>
        <n v="31.76"/>
        <n v="399.87"/>
        <n v="29.8"/>
        <n v="25.0"/>
        <n v="61.9"/>
        <n v="117.23"/>
        <n v="34.36"/>
        <n v="21.99"/>
        <n v="23.99"/>
        <n v="8.97"/>
        <n v="108.7"/>
        <n v="42.55"/>
        <n v="13.9"/>
        <n v="29.4"/>
        <n v="59.9"/>
        <n v="46.8"/>
        <n v="250.0"/>
        <n v="32.99"/>
        <n v="32.0"/>
        <n v="52.04"/>
        <n v="40.0"/>
        <n v="177.1"/>
        <n v="46.9"/>
        <n v="6.0"/>
        <n v="9.0"/>
        <n v="114.3"/>
        <n v="189.75"/>
        <n v="64.0"/>
        <n v="138.05"/>
        <n v="24.96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abril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JLojas americanas"/>
        <s v="lj26 sh sao goncalo"/>
        <s v="239 sao goncalo shopping"/>
        <s v="auto posto ens"/>
        <s v="HF Studiohair"/>
        <s v="puro gas"/>
        <s v="mercado novo rio"/>
        <s v="shopping das gramas"/>
        <s v="puro gas "/>
        <s v="rn solucoes financeiras"/>
        <s v="pes e patas"/>
        <s v="farmacia apolo x"/>
        <s v="padaria"/>
        <s v="katarynedamotta"/>
        <s v="drogaria tamoio"/>
        <s v="samanta correa"/>
        <s v="katiacristina"/>
        <s v="mundodaspecas"/>
        <s v="rede economia"/>
        <s v="lgmdistribuidorae"/>
        <s v="carrefour"/>
        <s v="atacadao 202"/>
        <s v="cassel frutas"/>
        <s v="shop do pijama"/>
        <s v="casa pedro"/>
        <s v="sams club"/>
        <s v="rede ecomonia"/>
        <s v="Drogaria pacheco"/>
        <s v="carrefour posto"/>
        <s v="carrefour manilha"/>
        <s v="dayse10comercio"/>
        <s v="o boticario"/>
        <s v="restaurante partage lt"/>
        <s v="elite note"/>
        <s v="grupoideal"/>
        <s v="publix"/>
        <s v="edineyguimaraes"/>
        <s v="cia do doce"/>
        <s v="bisturi"/>
        <s v="burger king"/>
        <s v="top arena"/>
        <s v="pasta di colina"/>
        <s v="propark"/>
        <s v="mina da prata partage"/>
        <s v="assai atacadista"/>
        <s v="cacula sao goncalo"/>
        <s v="sobrancelhas"/>
        <s v="lanche"/>
        <s v="estacionamento"/>
        <s v="hortfruit"/>
        <s v="corte arthur"/>
        <s v="jogo steam"/>
        <s v="troca de oleo cambio"/>
        <s v="lava a jato"/>
        <s v="tomografia AMY"/>
        <s v="recarga chip honda"/>
        <s v="tudo de vet"/>
        <s v="boticari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3.0"/>
        <n v="4.0"/>
        <n v="6.0"/>
        <n v="7.0"/>
        <n v="9.0"/>
        <n v="10.0"/>
        <n v="12.0"/>
        <n v="13.0"/>
        <n v="17.0"/>
        <n v="18.0"/>
        <n v="19.0"/>
        <n v="21.0"/>
        <n v="23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4.9"/>
        <n v="17.99"/>
        <n v="100.46"/>
        <n v="39.9"/>
        <n v="218.5"/>
        <n v="199.8"/>
        <n v="65.0"/>
        <n v="480.0"/>
        <n v="113.91"/>
        <n v="62.95"/>
        <n v="82.7"/>
        <n v="30.0"/>
        <n v="105.0"/>
        <n v="70.93"/>
        <n v="11.5"/>
        <n v="68.0"/>
        <n v="50.0"/>
        <n v="34.99"/>
        <n v="20.0"/>
        <n v="125.22"/>
        <n v="21.18"/>
        <n v="4.0"/>
        <n v="64.94"/>
        <n v="180.0"/>
        <n v="35.0"/>
        <n v="68.6"/>
        <n v="32.28"/>
        <n v="8.0"/>
        <n v="31.76"/>
        <n v="399.87"/>
        <n v="29.8"/>
        <n v="25.0"/>
        <n v="61.9"/>
        <n v="117.23"/>
        <n v="34.36"/>
        <n v="21.99"/>
        <n v="23.99"/>
        <n v="8.97"/>
        <n v="108.7"/>
        <n v="42.55"/>
        <n v="13.9"/>
        <n v="29.4"/>
        <n v="59.9"/>
        <n v="46.8"/>
        <n v="250.0"/>
        <n v="32.99"/>
        <n v="32.0"/>
        <n v="52.04"/>
        <n v="40.0"/>
        <n v="177.1"/>
        <n v="46.9"/>
        <n v="6.0"/>
        <n v="9.0"/>
        <n v="114.3"/>
        <n v="189.75"/>
        <n v="64.0"/>
        <n v="138.05"/>
        <n v="24.96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abril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JLojas americanas"/>
        <s v="lj26 sh sao goncalo"/>
        <s v="239 sao goncalo shopping"/>
        <s v="auto posto ens"/>
        <s v="HF Studiohair"/>
        <s v="puro gas"/>
        <s v="mercado novo rio"/>
        <s v="shopping das gramas"/>
        <s v="puro gas "/>
        <s v="rn solucoes financeiras"/>
        <s v="pes e patas"/>
        <s v="farmacia apolo x"/>
        <s v="padaria"/>
        <s v="katarynedamotta"/>
        <s v="drogaria tamoio"/>
        <s v="samanta correa"/>
        <s v="katiacristina"/>
        <s v="mundodaspecas"/>
        <s v="rede economia"/>
        <s v="lgmdistribuidorae"/>
        <s v="carrefour"/>
        <s v="atacadao 202"/>
        <s v="cassel frutas"/>
        <s v="shop do pijama"/>
        <s v="casa pedro"/>
        <s v="sams club"/>
        <s v="rede ecomonia"/>
        <s v="Drogaria pacheco"/>
        <s v="carrefour posto"/>
        <s v="carrefour manilha"/>
        <s v="dayse10comercio"/>
        <s v="o boticario"/>
        <s v="restaurante partage lt"/>
        <s v="elite note"/>
        <s v="grupoideal"/>
        <s v="publix"/>
        <s v="edineyguimaraes"/>
        <s v="cia do doce"/>
        <s v="bisturi"/>
        <s v="burger king"/>
        <s v="top arena"/>
        <s v="pasta di colina"/>
        <s v="propark"/>
        <s v="mina da prata partage"/>
        <s v="assai atacadista"/>
        <s v="cacula sao goncalo"/>
        <s v="sobrancelhas"/>
        <s v="lanche"/>
        <s v="estacionamento"/>
        <s v="hortfruit"/>
        <s v="corte arthur"/>
        <s v="jogo steam"/>
        <s v="troca de oleo cambio"/>
        <s v="lava a jato"/>
        <s v="tomografia AMY"/>
        <s v="recarga chip honda"/>
        <s v="tudo de vet"/>
        <s v="boticario"/>
        <s v="sulvia modas"/>
        <s v="cea"/>
        <s v="objetiv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3.0"/>
        <n v="4.0"/>
        <n v="6.0"/>
        <n v="7.0"/>
        <n v="9.0"/>
        <n v="10.0"/>
        <n v="12.0"/>
        <n v="13.0"/>
        <n v="17.0"/>
        <n v="18.0"/>
        <n v="19.0"/>
        <n v="21.0"/>
        <n v="23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4.9"/>
        <n v="17.99"/>
        <n v="100.46"/>
        <n v="39.9"/>
        <n v="218.5"/>
        <n v="199.8"/>
        <n v="65.0"/>
        <n v="480.0"/>
        <n v="113.91"/>
        <n v="62.95"/>
        <n v="82.7"/>
        <n v="30.0"/>
        <n v="105.0"/>
        <n v="70.93"/>
        <n v="11.5"/>
        <n v="68.0"/>
        <n v="50.0"/>
        <n v="34.99"/>
        <n v="20.0"/>
        <n v="125.22"/>
        <n v="21.18"/>
        <n v="4.0"/>
        <n v="64.94"/>
        <n v="180.0"/>
        <n v="35.0"/>
        <n v="68.6"/>
        <n v="32.28"/>
        <n v="8.0"/>
        <n v="31.76"/>
        <n v="399.87"/>
        <n v="29.8"/>
        <n v="25.0"/>
        <n v="61.9"/>
        <n v="117.23"/>
        <n v="34.36"/>
        <n v="21.99"/>
        <n v="23.99"/>
        <n v="8.97"/>
        <n v="108.7"/>
        <n v="42.55"/>
        <n v="13.9"/>
        <n v="29.4"/>
        <n v="59.9"/>
        <n v="46.8"/>
        <n v="250.0"/>
        <n v="32.99"/>
        <n v="32.0"/>
        <n v="52.04"/>
        <n v="40.0"/>
        <n v="177.1"/>
        <n v="46.9"/>
        <n v="6.0"/>
        <n v="9.0"/>
        <n v="114.3"/>
        <n v="189.75"/>
        <n v="64.0"/>
        <n v="138.05"/>
        <n v="24.96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gift"/>
        <s v="Cabeleireiro"/>
        <s v="mercado"/>
        <s v="manutenção domiciliar"/>
        <s v="outros"/>
        <s v="Pet"/>
        <s v="farmacia"/>
        <s v="Padaria"/>
        <s v="Feira"/>
        <s v="Vestuario"/>
        <s v="estacionamentos"/>
        <s v="manutencao veicular"/>
      </sharedItems>
    </cacheField>
  </cacheFields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marco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hebromcomercio"/>
        <s v="padaria"/>
        <s v="cairofirmino"/>
        <s v="hortfruit"/>
        <s v="gnv"/>
        <s v="mercado"/>
        <s v="Adonai"/>
        <s v="catiada"/>
        <s v="gasolina"/>
        <s v="objetiva"/>
        <s v="drogaria tamoio"/>
        <s v="ReginaTortas"/>
        <s v="marmita"/>
        <s v="pad conf goncalense"/>
        <s v="puro gas"/>
        <s v="g pet shop"/>
        <s v="autopostoluz"/>
        <s v="grupo genius brasil p"/>
        <s v="carrefour"/>
        <s v="Silviabatista"/>
        <s v="Silva fonseca comercio"/>
        <s v="fjlanchoneteltda"/>
        <s v="carrefour pst 304 pma"/>
        <s v="sams"/>
        <s v="carrefour rjm"/>
        <s v="racoessilvamuniz"/>
        <s v="assai"/>
        <s v="esfirra trindade"/>
        <s v="guanabara"/>
        <s v="elite note"/>
        <s v="rede economia"/>
        <s v="petz"/>
        <s v="comercial petroleo"/>
        <s v="pankmotos"/>
        <s v="mundodarefrigeracao"/>
        <s v="atacadao 202"/>
        <s v="cia do doce"/>
        <s v="cassel frutas"/>
        <s v="carrefour manilha"/>
        <s v="posto helloa"/>
        <s v="eskimo"/>
        <s v="sobrancelhas"/>
        <s v="lanche"/>
        <s v="estacionamento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4.0"/>
        <n v="6.0"/>
        <n v="7.0"/>
        <n v="9.0"/>
        <n v="10.0"/>
        <n v="12.0"/>
        <n v="13.0"/>
        <n v="18.0"/>
        <n v="19.0"/>
        <n v="21.0"/>
        <n v="22.0"/>
        <n v="23.0"/>
        <n v="24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4.9"/>
        <n v="17.99"/>
        <n v="100.46"/>
        <n v="39.9"/>
        <n v="218.5"/>
        <n v="199.8"/>
        <n v="65.0"/>
        <n v="480.0"/>
        <n v="50.0"/>
        <n v="4.0"/>
        <n v="235.0"/>
        <n v="32.0"/>
        <n v="6.75"/>
        <n v="40.0"/>
        <n v="38.18"/>
        <n v="7.5"/>
        <n v="34.89"/>
        <n v="16.0"/>
        <n v="280.87"/>
        <n v="9.5"/>
        <n v="67.49"/>
        <n v="1038.0"/>
        <n v="69.0"/>
        <n v="14.0"/>
        <n v="3.0"/>
        <n v="30.0"/>
        <n v="90.9"/>
        <n v="39.47"/>
        <n v="237.94"/>
        <n v="29.99"/>
        <n v="79.9"/>
        <n v="8.0"/>
        <n v="52.66"/>
        <n v="137.17"/>
        <n v="33.8"/>
        <n v="31.0"/>
        <n v="139.81"/>
        <n v="17.0"/>
        <n v="9.9"/>
        <n v="250.0"/>
        <n v="46.94"/>
        <n v="72.28"/>
        <n v="756.75"/>
        <n v="64.0"/>
        <n v="29.9"/>
        <n v="20.0"/>
        <n v="234.31"/>
        <n v="32.92"/>
        <n v="22.59"/>
        <n v="13.35"/>
        <n v="12.51"/>
        <n v="114.49"/>
        <n v="152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marco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hebromcomercio"/>
        <s v="padaria"/>
        <s v="cairofirmino"/>
        <s v="hortfruit"/>
        <s v="gnv"/>
        <s v="mercado"/>
        <s v="Adonai"/>
        <s v="catiada"/>
        <s v="gasolina"/>
        <s v="objetiva"/>
        <s v="drogaria tamoio"/>
        <s v="ReginaTortas"/>
        <s v="marmita"/>
        <s v="pad conf goncalense"/>
        <s v="puro gas"/>
        <s v="g pet shop"/>
        <s v="autopostoluz"/>
        <s v="grupo genius brasil p"/>
        <s v="carrefour"/>
        <s v="Silviabatista"/>
        <s v="Silva fonseca comercio"/>
        <s v="fjlanchoneteltda"/>
        <s v="carrefour pst 304 pma"/>
        <s v="sams"/>
        <s v="carrefour rjm"/>
        <s v="racoessilvamuniz"/>
        <s v="assai"/>
        <s v="esfirra trindade"/>
        <s v="guanabara"/>
        <s v="elite note"/>
        <s v="rede economia"/>
        <s v="petz"/>
        <s v="comercial petroleo"/>
        <s v="pankmotos"/>
        <s v="mundodarefrigeracao"/>
        <s v="atacadao 202"/>
        <s v="cia do doce"/>
        <s v="cassel frutas"/>
        <s v="carrefour manilha"/>
        <s v="posto helloa"/>
        <s v="eskimo"/>
        <s v="sobrancelhas"/>
        <s v="lanche"/>
        <s v="estacionamento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4.0"/>
        <n v="6.0"/>
        <n v="7.0"/>
        <n v="9.0"/>
        <n v="10.0"/>
        <n v="12.0"/>
        <n v="13.0"/>
        <n v="18.0"/>
        <n v="19.0"/>
        <n v="21.0"/>
        <n v="22.0"/>
        <n v="23.0"/>
        <n v="24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4.9"/>
        <n v="17.99"/>
        <n v="100.46"/>
        <n v="39.9"/>
        <n v="218.5"/>
        <n v="199.8"/>
        <n v="65.0"/>
        <n v="480.0"/>
        <n v="50.0"/>
        <n v="4.0"/>
        <n v="235.0"/>
        <n v="32.0"/>
        <n v="6.75"/>
        <n v="40.0"/>
        <n v="38.18"/>
        <n v="7.5"/>
        <n v="34.89"/>
        <n v="16.0"/>
        <n v="280.87"/>
        <n v="9.5"/>
        <n v="67.49"/>
        <n v="1038.0"/>
        <n v="69.0"/>
        <n v="14.0"/>
        <n v="3.0"/>
        <n v="30.0"/>
        <n v="90.9"/>
        <n v="39.47"/>
        <n v="237.94"/>
        <n v="29.99"/>
        <n v="79.9"/>
        <n v="8.0"/>
        <n v="52.66"/>
        <n v="137.17"/>
        <n v="33.8"/>
        <n v="31.0"/>
        <n v="139.81"/>
        <n v="17.0"/>
        <n v="9.9"/>
        <n v="250.0"/>
        <n v="46.94"/>
        <n v="72.28"/>
        <n v="756.75"/>
        <n v="64.0"/>
        <n v="29.9"/>
        <n v="20.0"/>
        <n v="234.31"/>
        <n v="32.92"/>
        <n v="22.59"/>
        <n v="13.35"/>
        <n v="12.51"/>
        <n v="114.49"/>
        <n v="152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marco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hebromcomercio"/>
        <s v="padaria"/>
        <s v="cairofirmino"/>
        <s v="hortfruit"/>
        <s v="gnv"/>
        <s v="mercado"/>
        <s v="Adonai"/>
        <s v="catiada"/>
        <s v="gasolina"/>
        <s v="objetiva"/>
        <s v="drogaria tamoio"/>
        <s v="ReginaTortas"/>
        <s v="marmita"/>
        <s v="pad conf goncalense"/>
        <s v="puro gas"/>
        <s v="g pet shop"/>
        <s v="autopostoluz"/>
        <s v="grupo genius brasil p"/>
        <s v="carrefour"/>
        <s v="Silviabatista"/>
        <s v="Silva fonseca comercio"/>
        <s v="fjlanchoneteltda"/>
        <s v="carrefour pst 304 pma"/>
        <s v="sams"/>
        <s v="carrefour rjm"/>
        <s v="racoessilvamuniz"/>
        <s v="assai"/>
        <s v="esfirra trindade"/>
        <s v="guanabara"/>
        <s v="elite note"/>
        <s v="rede economia"/>
        <s v="petz"/>
        <s v="comercial petroleo"/>
        <s v="pankmotos"/>
        <s v="mundodarefrigeracao"/>
        <s v="atacadao 202"/>
        <s v="cia do doce"/>
        <s v="cassel frutas"/>
        <s v="carrefour manilha"/>
        <s v="posto helloa"/>
        <s v="eskimo"/>
        <s v="sobrancelhas"/>
        <s v="lanche"/>
        <s v="estacionamento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</sharedItems>
    </cacheField>
    <cacheField name="dia" numFmtId="0">
      <sharedItems containsSemiMixedTypes="0" containsString="0" containsNumber="1" containsInteger="1">
        <n v="5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1.0"/>
        <n v="4.0"/>
        <n v="6.0"/>
        <n v="7.0"/>
        <n v="9.0"/>
        <n v="10.0"/>
        <n v="12.0"/>
        <n v="13.0"/>
        <n v="18.0"/>
        <n v="19.0"/>
        <n v="21.0"/>
        <n v="22.0"/>
        <n v="23.0"/>
        <n v="24.0"/>
      </sharedItems>
    </cacheField>
    <cacheField name="valor" numFmtId="166">
      <sharedItems containsSemiMixedTypes="0" containsString="0" containsNumber="1">
        <n v="695.0"/>
        <n v="1113.31"/>
        <n v="0.0"/>
        <n v="696.36"/>
        <n v="129.0"/>
        <n v="88.0"/>
        <n v="17.45"/>
        <n v="14.9"/>
        <n v="17.99"/>
        <n v="100.46"/>
        <n v="39.9"/>
        <n v="218.5"/>
        <n v="199.8"/>
        <n v="65.0"/>
        <n v="480.0"/>
        <n v="50.0"/>
        <n v="4.0"/>
        <n v="235.0"/>
        <n v="32.0"/>
        <n v="6.75"/>
        <n v="40.0"/>
        <n v="38.18"/>
        <n v="7.5"/>
        <n v="34.89"/>
        <n v="16.0"/>
        <n v="280.87"/>
        <n v="9.5"/>
        <n v="67.49"/>
        <n v="1038.0"/>
        <n v="69.0"/>
        <n v="14.0"/>
        <n v="3.0"/>
        <n v="30.0"/>
        <n v="90.9"/>
        <n v="39.47"/>
        <n v="237.94"/>
        <n v="29.99"/>
        <n v="79.9"/>
        <n v="8.0"/>
        <n v="52.66"/>
        <n v="137.17"/>
        <n v="33.8"/>
        <n v="31.0"/>
        <n v="139.81"/>
        <n v="17.0"/>
        <n v="9.9"/>
        <n v="250.0"/>
        <n v="46.94"/>
        <n v="72.28"/>
        <n v="756.75"/>
        <n v="64.0"/>
        <n v="29.9"/>
        <n v="20.0"/>
        <n v="234.31"/>
        <n v="32.92"/>
        <n v="22.59"/>
        <n v="13.35"/>
        <n v="12.51"/>
        <n v="114.49"/>
        <n v="152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outros"/>
        <s v="Padaria"/>
        <s v="manutencao veicular"/>
        <s v="Feira"/>
        <s v="mercado"/>
        <s v="Vestuario"/>
        <s v="farmacia"/>
        <s v="gift"/>
        <s v="Pet"/>
        <s v="manutenção domiciliar"/>
        <s v="Cabeleireiro"/>
        <s v="estacionamentos"/>
      </sharedItems>
    </cacheField>
  </cacheFields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fevereiro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gnv"/>
        <s v="G pet shop"/>
        <s v="padaria"/>
        <s v="objetiva"/>
        <s v="hs cortes madeiras"/>
        <s v="adonai"/>
        <s v="drogaria tamoio"/>
        <s v="kamaro racoes"/>
        <s v="pes e patas"/>
        <s v="casa e video"/>
        <s v="galao agua"/>
        <s v="loteria"/>
        <s v="carrefour posto"/>
        <s v="sams club"/>
        <s v="cirurgia amy"/>
        <s v="cia doce"/>
        <s v="gladiador remedio amy"/>
        <s v="assai"/>
        <s v="park farma remedio"/>
        <s v="cirurgia amy anestesista"/>
        <s v="top arena"/>
        <s v="atacadao posto 13"/>
        <s v="regina tortas"/>
        <s v="casas pedro"/>
        <s v="pizza itauna"/>
        <s v="petz"/>
        <s v="Eletrocardiograma "/>
        <s v="alfredo backer"/>
        <s v="dermatologia"/>
        <s v="chavao(hemograga + bioquimica)"/>
        <s v="chavao(bethoven)"/>
        <s v="pank motos"/>
        <s v="guanabara"/>
        <s v="usg"/>
        <s v="estacionamento"/>
        <s v="lanche"/>
        <s v="vestido"/>
        <s v="tripag"/>
        <s v="edineyguimaraesde"/>
        <s v="aquafarma"/>
        <s v="sao goncalo"/>
        <s v="compao"/>
        <s v="posto helloa"/>
        <s v="eskimo"/>
        <s v="sobrancelhas"/>
        <s v="hortfruit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</sharedItems>
    </cacheField>
    <cacheField name="valor" numFmtId="166">
      <sharedItems containsSemiMixedTypes="0" containsString="0" containsNumber="1">
        <n v="695.0"/>
        <n v="1759.902752"/>
        <n v="0.0"/>
        <n v="800.0"/>
        <n v="129.0"/>
        <n v="88.0"/>
        <n v="17.45"/>
        <n v="14.9"/>
        <n v="17.99"/>
        <n v="89.9"/>
        <n v="39.9"/>
        <n v="218.5"/>
        <n v="199.8"/>
        <n v="60.0"/>
        <n v="480.0"/>
        <n v="69.0"/>
        <n v="10.6"/>
        <n v="8.0"/>
        <n v="31.9"/>
        <n v="109.95"/>
        <n v="22.99"/>
        <n v="8.6"/>
        <n v="25.63"/>
        <n v="60.48"/>
        <n v="33.0"/>
        <n v="28.6"/>
        <n v="25.98"/>
        <n v="50.0"/>
        <n v="16.0"/>
        <n v="30.0"/>
        <n v="4.0"/>
        <n v="49.12"/>
        <n v="87.96"/>
        <n v="1000.0"/>
        <n v="33.03"/>
        <n v="105.9"/>
        <n v="132.25"/>
        <n v="4.49"/>
        <n v="980.0"/>
        <n v="3375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fevereiro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gnv"/>
        <s v="G pet shop"/>
        <s v="padaria"/>
        <s v="objetiva"/>
        <s v="hs cortes madeiras"/>
        <s v="adonai"/>
        <s v="drogaria tamoio"/>
        <s v="kamaro racoes"/>
        <s v="pes e patas"/>
        <s v="casa e video"/>
        <s v="galao agua"/>
        <s v="loteria"/>
        <s v="carrefour posto"/>
        <s v="sams club"/>
        <s v="cirurgia amy"/>
        <s v="cia doce"/>
        <s v="gladiador remedio amy"/>
        <s v="assai"/>
        <s v="park farma remedio"/>
        <s v="cirurgia amy anestesista"/>
        <s v="top arena"/>
        <s v="atacadao posto 13"/>
        <s v="regina tortas"/>
        <s v="casas pedro"/>
        <s v="pizza itauna"/>
        <s v="petz"/>
        <s v="Eletrocardiograma "/>
        <s v="alfredo backer"/>
        <s v="dermatologia"/>
        <s v="chavao(hemograga + bioquimica)"/>
        <s v="chavao(bethoven)"/>
        <s v="pank motos"/>
        <s v="guanabara"/>
        <s v="usg"/>
        <s v="estacionamento"/>
        <s v="lanche"/>
        <s v="vestido"/>
        <s v="tripag"/>
        <s v="edineyguimaraesde"/>
        <s v="aquafarma"/>
        <s v="sao goncalo"/>
        <s v="compao"/>
        <s v="posto helloa"/>
        <s v="eskimo"/>
        <s v="sobrancelhas"/>
        <s v="hortfruit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</sharedItems>
    </cacheField>
    <cacheField name="valor" numFmtId="166">
      <sharedItems containsSemiMixedTypes="0" containsString="0" containsNumber="1">
        <n v="695.0"/>
        <n v="1759.902752"/>
        <n v="0.0"/>
        <n v="800.0"/>
        <n v="129.0"/>
        <n v="88.0"/>
        <n v="17.45"/>
        <n v="14.9"/>
        <n v="17.99"/>
        <n v="89.9"/>
        <n v="39.9"/>
        <n v="218.5"/>
        <n v="199.8"/>
        <n v="60.0"/>
        <n v="480.0"/>
        <n v="69.0"/>
        <n v="10.6"/>
        <n v="8.0"/>
        <n v="31.9"/>
        <n v="109.95"/>
        <n v="22.99"/>
        <n v="8.6"/>
        <n v="25.63"/>
        <n v="60.48"/>
        <n v="33.0"/>
        <n v="28.6"/>
        <n v="25.98"/>
        <n v="50.0"/>
        <n v="16.0"/>
        <n v="30.0"/>
        <n v="4.0"/>
        <n v="49.12"/>
        <n v="87.96"/>
        <n v="1000.0"/>
        <n v="33.03"/>
        <n v="105.9"/>
        <n v="132.25"/>
        <n v="4.49"/>
        <n v="980.0"/>
        <n v="3375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fevereiro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gnv"/>
        <s v="G pet shop"/>
        <s v="padaria"/>
        <s v="objetiva"/>
        <s v="hs cortes madeiras"/>
        <s v="adonai"/>
        <s v="drogaria tamoio"/>
        <s v="kamaro racoes"/>
        <s v="pes e patas"/>
        <s v="casa e video"/>
        <s v="galao agua"/>
        <s v="loteria"/>
        <s v="carrefour posto"/>
        <s v="sams club"/>
        <s v="cirurgia amy"/>
        <s v="cia doce"/>
        <s v="gladiador remedio amy"/>
        <s v="assai"/>
        <s v="park farma remedio"/>
        <s v="cirurgia amy anestesista"/>
        <s v="top arena"/>
        <s v="atacadao posto 13"/>
        <s v="regina tortas"/>
        <s v="casas pedro"/>
        <s v="pizza itauna"/>
        <s v="petz"/>
        <s v="Eletrocardiograma "/>
        <s v="alfredo backer"/>
        <s v="dermatologia"/>
        <s v="chavao(hemograga + bioquimica)"/>
        <s v="chavao(bethoven)"/>
        <s v="pank motos"/>
        <s v="guanabara"/>
        <s v="usg"/>
        <s v="estacionamento"/>
        <s v="lanche"/>
        <s v="vestido"/>
        <s v="tripag"/>
        <s v="edineyguimaraesde"/>
        <s v="aquafarma"/>
        <s v="sao goncalo"/>
        <s v="compao"/>
        <s v="posto helloa"/>
        <s v="eskimo"/>
        <s v="sobrancelhas"/>
        <s v="hortfruit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</sharedItems>
    </cacheField>
    <cacheField name="valor" numFmtId="166">
      <sharedItems containsSemiMixedTypes="0" containsString="0" containsNumber="1">
        <n v="695.0"/>
        <n v="1759.902752"/>
        <n v="0.0"/>
        <n v="800.0"/>
        <n v="129.0"/>
        <n v="88.0"/>
        <n v="17.45"/>
        <n v="14.9"/>
        <n v="17.99"/>
        <n v="89.9"/>
        <n v="39.9"/>
        <n v="218.5"/>
        <n v="199.8"/>
        <n v="60.0"/>
        <n v="480.0"/>
        <n v="69.0"/>
        <n v="10.6"/>
        <n v="8.0"/>
        <n v="31.9"/>
        <n v="109.95"/>
        <n v="22.99"/>
        <n v="8.6"/>
        <n v="25.63"/>
        <n v="60.48"/>
        <n v="33.0"/>
        <n v="28.6"/>
        <n v="25.98"/>
        <n v="50.0"/>
        <n v="16.0"/>
        <n v="30.0"/>
        <n v="4.0"/>
        <n v="49.12"/>
        <n v="87.96"/>
        <n v="1000.0"/>
        <n v="33.03"/>
        <n v="105.9"/>
        <n v="132.25"/>
        <n v="4.49"/>
        <n v="980.0"/>
        <n v="3375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Pet"/>
        <s v="Padaria"/>
        <s v="Vestuario"/>
        <s v="Manutenção casa"/>
        <s v="farmacia"/>
        <s v="mercado"/>
        <s v="utilizades domesticas"/>
        <s v="gift"/>
        <s v="manutencao veicular"/>
        <s v="estacionamentos"/>
        <s v="outros"/>
        <s v="Feira"/>
        <s v="Cabeleireiro"/>
      </sharedItems>
    </cacheField>
  </cacheFields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janneiro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gnv"/>
        <s v="G pet shop"/>
        <s v="padaria"/>
        <s v="objetiva"/>
        <s v="hs cortes madeiras"/>
        <s v="adonai"/>
        <s v="drogaria tamoio"/>
        <s v="kamaro racoes"/>
        <s v="pes e patas"/>
        <s v="casa e video"/>
        <s v="galao agua"/>
        <s v="loteria"/>
        <s v="carrefour posto"/>
        <s v="sams club"/>
        <s v="cirurgia amy"/>
        <s v="cia doce"/>
        <s v="gladiador remedio amy"/>
        <s v="assai"/>
        <s v="park farma remedio"/>
        <s v="cirurgia amy anestesista"/>
        <s v="top arena"/>
        <s v="atacadao posto 13"/>
        <s v="regina tortas"/>
        <s v="casas pedro"/>
        <s v="pizza itauna"/>
        <s v="petz"/>
        <s v="Eletrocardiograma "/>
        <s v="alfredo backer"/>
        <s v="dermatologia"/>
        <s v="chavao(hemograga + bioquimica)"/>
        <s v="chavao(bethoven)"/>
        <s v="pank motos"/>
        <s v="guanabara"/>
        <s v="usg"/>
        <s v="estacionamento"/>
        <s v="lanche"/>
        <s v="vestido"/>
        <s v="tripag"/>
        <s v="edineyguimaraesde"/>
        <s v="aquafarma"/>
        <s v="sao goncalo"/>
        <s v="compao"/>
        <s v="posto helloa"/>
        <s v="eskimo"/>
        <s v="sobrancelhas"/>
        <s v="hortfruit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</sharedItems>
    </cacheField>
    <cacheField name="valor" numFmtId="166">
      <sharedItems containsSemiMixedTypes="0" containsString="0" containsNumber="1">
        <n v="0.0"/>
        <n v="795.0"/>
        <n v="333.32"/>
        <n v="129.0"/>
        <n v="88.0"/>
        <n v="17.45"/>
        <n v="14.9"/>
        <n v="17.99"/>
        <n v="100.0"/>
        <n v="39.9"/>
        <n v="218.5"/>
        <n v="199.8"/>
        <n v="60.0"/>
        <n v="480.0"/>
        <n v="69.0"/>
        <n v="10.6"/>
        <n v="8.0"/>
        <n v="31.9"/>
        <n v="109.95"/>
        <n v="22.99"/>
        <n v="8.6"/>
        <n v="25.63"/>
        <n v="60.48"/>
        <n v="33.0"/>
        <n v="28.6"/>
        <n v="25.98"/>
        <n v="50.0"/>
        <n v="16.0"/>
        <n v="30.0"/>
        <n v="4.0"/>
        <n v="49.12"/>
        <n v="87.96"/>
        <n v="1000.0"/>
        <n v="33.03"/>
        <n v="105.9"/>
        <n v="132.25"/>
        <n v="4.49"/>
        <n v="980.0"/>
        <n v="3375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janneiro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gnv"/>
        <s v="G pet shop"/>
        <s v="padaria"/>
        <s v="objetiva"/>
        <s v="hs cortes madeiras"/>
        <s v="adonai"/>
        <s v="drogaria tamoio"/>
        <s v="kamaro racoes"/>
        <s v="pes e patas"/>
        <s v="casa e video"/>
        <s v="galao agua"/>
        <s v="loteria"/>
        <s v="carrefour posto"/>
        <s v="sams club"/>
        <s v="cirurgia amy"/>
        <s v="cia doce"/>
        <s v="gladiador remedio amy"/>
        <s v="assai"/>
        <s v="park farma remedio"/>
        <s v="cirurgia amy anestesista"/>
        <s v="top arena"/>
        <s v="atacadao posto 13"/>
        <s v="regina tortas"/>
        <s v="casas pedro"/>
        <s v="pizza itauna"/>
        <s v="petz"/>
        <s v="Eletrocardiograma "/>
        <s v="alfredo backer"/>
        <s v="dermatologia"/>
        <s v="chavao(hemograga + bioquimica)"/>
        <s v="chavao(bethoven)"/>
        <s v="pank motos"/>
        <s v="guanabara"/>
        <s v="usg"/>
        <s v="estacionamento"/>
        <s v="lanche"/>
        <s v="vestido"/>
        <s v="tripag"/>
        <s v="edineyguimaraesde"/>
        <s v="aquafarma"/>
        <s v="sao goncalo"/>
        <s v="compao"/>
        <s v="posto helloa"/>
        <s v="eskimo"/>
        <s v="sobrancelhas"/>
        <s v="hortfruit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</sharedItems>
    </cacheField>
    <cacheField name="valor" numFmtId="166">
      <sharedItems containsSemiMixedTypes="0" containsString="0" containsNumber="1">
        <n v="0.0"/>
        <n v="795.0"/>
        <n v="333.32"/>
        <n v="129.0"/>
        <n v="88.0"/>
        <n v="17.45"/>
        <n v="14.9"/>
        <n v="17.99"/>
        <n v="100.0"/>
        <n v="39.9"/>
        <n v="218.5"/>
        <n v="199.8"/>
        <n v="60.0"/>
        <n v="480.0"/>
        <n v="69.0"/>
        <n v="10.6"/>
        <n v="8.0"/>
        <n v="31.9"/>
        <n v="109.95"/>
        <n v="22.99"/>
        <n v="8.6"/>
        <n v="25.63"/>
        <n v="60.48"/>
        <n v="33.0"/>
        <n v="28.6"/>
        <n v="25.98"/>
        <n v="50.0"/>
        <n v="16.0"/>
        <n v="30.0"/>
        <n v="4.0"/>
        <n v="49.12"/>
        <n v="87.96"/>
        <n v="1000.0"/>
        <n v="33.03"/>
        <n v="105.9"/>
        <n v="132.25"/>
        <n v="4.49"/>
        <n v="980.0"/>
        <n v="3375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janneiro24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gnv"/>
        <s v="G pet shop"/>
        <s v="padaria"/>
        <s v="objetiva"/>
        <s v="hs cortes madeiras"/>
        <s v="adonai"/>
        <s v="drogaria tamoio"/>
        <s v="kamaro racoes"/>
        <s v="pes e patas"/>
        <s v="casa e video"/>
        <s v="galao agua"/>
        <s v="loteria"/>
        <s v="carrefour posto"/>
        <s v="sams club"/>
        <s v="cirurgia amy"/>
        <s v="cia doce"/>
        <s v="gladiador remedio amy"/>
        <s v="assai"/>
        <s v="park farma remedio"/>
        <s v="cirurgia amy anestesista"/>
        <s v="top arena"/>
        <s v="atacadao posto 13"/>
        <s v="regina tortas"/>
        <s v="casas pedro"/>
        <s v="pizza itauna"/>
        <s v="petz"/>
        <s v="Eletrocardiograma "/>
        <s v="alfredo backer"/>
        <s v="dermatologia"/>
        <s v="chavao(hemograga + bioquimica)"/>
        <s v="chavao(bethoven)"/>
        <s v="pank motos"/>
        <s v="guanabara"/>
        <s v="usg"/>
        <s v="estacionamento"/>
        <s v="lanche"/>
        <s v="vestido"/>
        <s v="tripag"/>
        <s v="edineyguimaraesde"/>
        <s v="aquafarma"/>
        <s v="sao goncalo"/>
        <s v="compao"/>
        <s v="posto helloa"/>
        <s v="eskimo"/>
        <s v="sobrancelhas"/>
        <s v="hortfruit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3.0"/>
        <n v="4.0"/>
      </sharedItems>
    </cacheField>
    <cacheField name="valor" numFmtId="166">
      <sharedItems containsSemiMixedTypes="0" containsString="0" containsNumber="1">
        <n v="0.0"/>
        <n v="795.0"/>
        <n v="333.32"/>
        <n v="129.0"/>
        <n v="88.0"/>
        <n v="17.45"/>
        <n v="14.9"/>
        <n v="17.99"/>
        <n v="100.0"/>
        <n v="39.9"/>
        <n v="218.5"/>
        <n v="199.8"/>
        <n v="60.0"/>
        <n v="480.0"/>
        <n v="69.0"/>
        <n v="10.6"/>
        <n v="8.0"/>
        <n v="31.9"/>
        <n v="109.95"/>
        <n v="22.99"/>
        <n v="8.6"/>
        <n v="25.63"/>
        <n v="60.48"/>
        <n v="33.0"/>
        <n v="28.6"/>
        <n v="25.98"/>
        <n v="50.0"/>
        <n v="16.0"/>
        <n v="30.0"/>
        <n v="4.0"/>
        <n v="49.12"/>
        <n v="87.96"/>
        <n v="1000.0"/>
        <n v="33.03"/>
        <n v="105.9"/>
        <n v="132.25"/>
        <n v="4.49"/>
        <n v="980.0"/>
        <n v="3375.0"/>
      </sharedItems>
    </cacheField>
    <cacheField name="situacao" numFmtId="0">
      <sharedItems>
        <s v="pg"/>
        <s v="open"/>
        <s v="closed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Pet"/>
        <s v="Padaria"/>
        <s v="Vestuario"/>
        <s v="Manutenção casa"/>
        <s v="farmacia"/>
        <s v="mercado"/>
        <s v="utilizades domesticas"/>
        <s v="gift"/>
        <s v="manutencao veicular"/>
        <s v="estacionamentos"/>
        <s v="outros"/>
        <s v="Feira"/>
        <s v="Cabeleireiro"/>
      </sharedItems>
    </cacheField>
  </cacheFields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2" sheet="Dezembro23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estacionamento"/>
        <s v="edney guimaraes"/>
        <s v="chegamais"/>
        <s v="feira"/>
        <s v="purogas mutua "/>
        <s v="AcquaFarma"/>
        <s v="mutua"/>
        <s v="cia doce"/>
        <s v="racoessilva muniz"/>
        <s v="restaurante nova"/>
        <s v="pes e patas"/>
        <s v="eskimo"/>
        <s v="edineyguimaraesde"/>
        <s v="petz"/>
        <s v="bistro vegano"/>
        <s v="jjm(picolescarrefour)"/>
        <s v="carrefour posto"/>
        <s v="padaria"/>
        <s v="chavao"/>
        <s v="grupo genius brasil"/>
        <s v="assai"/>
        <s v="top arena"/>
        <s v="sams club"/>
        <s v="atacadao posto 13"/>
        <s v="regina tortas"/>
        <s v="casas pedro"/>
        <s v="pizza itauna"/>
        <s v="Eletrocardiograma "/>
        <s v="alfredo backer"/>
        <s v="dermatologia"/>
        <s v="chavao(hemograga + bioquimica)"/>
        <s v="chavao(bethoven)"/>
        <s v="pank motos"/>
        <s v="guanabara"/>
        <s v="usg"/>
        <s v="lanche"/>
        <s v="vestido"/>
        <s v="gnv"/>
        <s v="tripag"/>
        <s v="aquafarma"/>
        <s v="sao goncalo"/>
        <s v="compao"/>
        <s v="posto helloa"/>
        <s v="sobrancelhas"/>
        <s v="hortfruit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  <s v="objetiva"/>
        <s v="ssd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21.0"/>
        <n v="1.0"/>
        <n v="28.0"/>
        <n v="4.0"/>
        <n v="9.0"/>
        <n v="10.0"/>
        <n v="12.0"/>
        <n v="17.0"/>
        <n v="18.0"/>
        <n v="19.0"/>
        <n v="22.0"/>
        <n v="23.0"/>
        <n v="24.0"/>
        <n v="25.0"/>
      </sharedItems>
    </cacheField>
    <cacheField name="valor" numFmtId="166">
      <sharedItems containsSemiMixedTypes="0" containsString="0" containsNumber="1">
        <n v="660.0"/>
        <n v="992.0"/>
        <n v="0.0"/>
        <n v="333.32"/>
        <n v="99.0"/>
        <n v="88.0"/>
        <n v="17.45"/>
        <n v="21.9"/>
        <n v="14.9"/>
        <n v="17.99"/>
        <n v="89.9"/>
        <n v="39.9"/>
        <n v="218.5"/>
        <n v="199.8"/>
        <n v="30.0"/>
        <n v="50.0"/>
        <n v="480.0"/>
        <n v="32.0"/>
        <n v="24.0"/>
        <n v="11.36"/>
        <n v="40.0"/>
        <n v="48.34"/>
        <n v="120.0"/>
        <n v="20.0"/>
        <n v="44.41"/>
        <n v="8.0"/>
        <n v="18.0"/>
        <n v="37.16"/>
        <n v="115.5"/>
        <n v="28.0"/>
        <n v="596.41"/>
        <n v="116.7"/>
        <n v="12.42"/>
        <n v="15.0"/>
        <n v="41.18"/>
        <n v="4.0"/>
        <n v="100.0"/>
        <n v="9.0"/>
        <n v="307.35"/>
        <n v="35.88"/>
        <n v="4.7"/>
        <n v="61.91"/>
        <n v="25.99"/>
        <n v="21.37"/>
        <n v="70.0"/>
        <n v="134.16"/>
        <n v="36.99"/>
        <n v="242.43"/>
        <n v="199.0"/>
        <n v="871.5"/>
        <n v="230.0"/>
        <n v="250.0"/>
        <n v="380.0"/>
        <n v="152.0"/>
        <n v="169.0"/>
        <n v="180.0"/>
        <n v="12.0"/>
        <n v="90.0"/>
        <n v="97.9"/>
        <n v="67.46"/>
        <n v="159.9"/>
        <n v="34.0"/>
        <n v="3.0"/>
        <n v="58.66"/>
        <n v="42.0"/>
        <n v="16.0"/>
        <n v="11.4"/>
        <n v="55.0"/>
        <n v="37.3"/>
        <n v="61.8"/>
        <n v="17.0"/>
        <n v="27.59"/>
        <n v="167.89"/>
        <n v="900.0"/>
        <n v="35.0"/>
        <n v="990.0"/>
        <n v="69.9"/>
        <n v="18.45"/>
        <n v="118.9"/>
        <n v="84.98"/>
        <n v="89.98"/>
        <n v="304.91"/>
        <n v="248.0"/>
      </sharedItems>
    </cacheField>
    <cacheField name="situacao" numFmtId="0">
      <sharedItems>
        <s v="pg"/>
        <s v="open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2" sheet="Dezembro23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estacionamento"/>
        <s v="edney guimaraes"/>
        <s v="chegamais"/>
        <s v="feira"/>
        <s v="purogas mutua "/>
        <s v="AcquaFarma"/>
        <s v="mutua"/>
        <s v="cia doce"/>
        <s v="racoessilva muniz"/>
        <s v="restaurante nova"/>
        <s v="pes e patas"/>
        <s v="eskimo"/>
        <s v="edineyguimaraesde"/>
        <s v="petz"/>
        <s v="bistro vegano"/>
        <s v="jjm(picolescarrefour)"/>
        <s v="carrefour posto"/>
        <s v="padaria"/>
        <s v="chavao"/>
        <s v="grupo genius brasil"/>
        <s v="assai"/>
        <s v="top arena"/>
        <s v="sams club"/>
        <s v="atacadao posto 13"/>
        <s v="regina tortas"/>
        <s v="casas pedro"/>
        <s v="pizza itauna"/>
        <s v="Eletrocardiograma "/>
        <s v="alfredo backer"/>
        <s v="dermatologia"/>
        <s v="chavao(hemograga + bioquimica)"/>
        <s v="chavao(bethoven)"/>
        <s v="pank motos"/>
        <s v="guanabara"/>
        <s v="usg"/>
        <s v="lanche"/>
        <s v="vestido"/>
        <s v="gnv"/>
        <s v="tripag"/>
        <s v="aquafarma"/>
        <s v="sao goncalo"/>
        <s v="compao"/>
        <s v="posto helloa"/>
        <s v="sobrancelhas"/>
        <s v="hortfruit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  <s v="objetiva"/>
        <s v="ssd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21.0"/>
        <n v="1.0"/>
        <n v="28.0"/>
        <n v="4.0"/>
        <n v="9.0"/>
        <n v="10.0"/>
        <n v="12.0"/>
        <n v="17.0"/>
        <n v="18.0"/>
        <n v="19.0"/>
        <n v="22.0"/>
        <n v="23.0"/>
        <n v="24.0"/>
        <n v="25.0"/>
      </sharedItems>
    </cacheField>
    <cacheField name="valor" numFmtId="166">
      <sharedItems containsSemiMixedTypes="0" containsString="0" containsNumber="1">
        <n v="660.0"/>
        <n v="992.0"/>
        <n v="0.0"/>
        <n v="333.32"/>
        <n v="99.0"/>
        <n v="88.0"/>
        <n v="17.45"/>
        <n v="21.9"/>
        <n v="14.9"/>
        <n v="17.99"/>
        <n v="89.9"/>
        <n v="39.9"/>
        <n v="218.5"/>
        <n v="199.8"/>
        <n v="30.0"/>
        <n v="50.0"/>
        <n v="480.0"/>
        <n v="32.0"/>
        <n v="24.0"/>
        <n v="11.36"/>
        <n v="40.0"/>
        <n v="48.34"/>
        <n v="120.0"/>
        <n v="20.0"/>
        <n v="44.41"/>
        <n v="8.0"/>
        <n v="18.0"/>
        <n v="37.16"/>
        <n v="115.5"/>
        <n v="28.0"/>
        <n v="596.41"/>
        <n v="116.7"/>
        <n v="12.42"/>
        <n v="15.0"/>
        <n v="41.18"/>
        <n v="4.0"/>
        <n v="100.0"/>
        <n v="9.0"/>
        <n v="307.35"/>
        <n v="35.88"/>
        <n v="4.7"/>
        <n v="61.91"/>
        <n v="25.99"/>
        <n v="21.37"/>
        <n v="70.0"/>
        <n v="134.16"/>
        <n v="36.99"/>
        <n v="242.43"/>
        <n v="199.0"/>
        <n v="871.5"/>
        <n v="230.0"/>
        <n v="250.0"/>
        <n v="380.0"/>
        <n v="152.0"/>
        <n v="169.0"/>
        <n v="180.0"/>
        <n v="12.0"/>
        <n v="90.0"/>
        <n v="97.9"/>
        <n v="67.46"/>
        <n v="159.9"/>
        <n v="34.0"/>
        <n v="3.0"/>
        <n v="58.66"/>
        <n v="42.0"/>
        <n v="16.0"/>
        <n v="11.4"/>
        <n v="55.0"/>
        <n v="37.3"/>
        <n v="61.8"/>
        <n v="17.0"/>
        <n v="27.59"/>
        <n v="167.89"/>
        <n v="900.0"/>
        <n v="35.0"/>
        <n v="990.0"/>
        <n v="69.9"/>
        <n v="18.45"/>
        <n v="118.9"/>
        <n v="84.98"/>
        <n v="89.98"/>
        <n v="304.91"/>
        <n v="248.0"/>
      </sharedItems>
    </cacheField>
    <cacheField name="situacao" numFmtId="0">
      <sharedItems>
        <s v="pg"/>
        <s v="open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2" sheet="Dezembro23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estacionamento"/>
        <s v="edney guimaraes"/>
        <s v="chegamais"/>
        <s v="feira"/>
        <s v="purogas mutua "/>
        <s v="AcquaFarma"/>
        <s v="mutua"/>
        <s v="cia doce"/>
        <s v="racoessilva muniz"/>
        <s v="restaurante nova"/>
        <s v="pes e patas"/>
        <s v="eskimo"/>
        <s v="edineyguimaraesde"/>
        <s v="petz"/>
        <s v="bistro vegano"/>
        <s v="jjm(picolescarrefour)"/>
        <s v="carrefour posto"/>
        <s v="padaria"/>
        <s v="chavao"/>
        <s v="grupo genius brasil"/>
        <s v="assai"/>
        <s v="top arena"/>
        <s v="sams club"/>
        <s v="atacadao posto 13"/>
        <s v="regina tortas"/>
        <s v="casas pedro"/>
        <s v="pizza itauna"/>
        <s v="Eletrocardiograma "/>
        <s v="alfredo backer"/>
        <s v="dermatologia"/>
        <s v="chavao(hemograga + bioquimica)"/>
        <s v="chavao(bethoven)"/>
        <s v="pank motos"/>
        <s v="guanabara"/>
        <s v="usg"/>
        <s v="lanche"/>
        <s v="vestido"/>
        <s v="gnv"/>
        <s v="tripag"/>
        <s v="aquafarma"/>
        <s v="sao goncalo"/>
        <s v="compao"/>
        <s v="posto helloa"/>
        <s v="sobrancelhas"/>
        <s v="hortfruit"/>
        <s v="corte arthur"/>
        <s v="jogo steam"/>
        <s v="troca de oleo cambio"/>
        <s v="lava a jato"/>
        <s v="tomografia AMY"/>
        <s v="recarga chip honda"/>
        <s v="tudo de vet"/>
        <s v="casa pedro"/>
        <s v="boticario"/>
        <s v="sulvia modas"/>
        <s v="cea"/>
        <s v="objetiva"/>
        <s v="ssd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16.0"/>
        <n v="29.0"/>
        <n v="2.0"/>
        <n v="15.0"/>
        <n v="8.0"/>
        <n v="27.0"/>
        <n v="0.0"/>
        <n v="21.0"/>
        <n v="1.0"/>
        <n v="28.0"/>
        <n v="4.0"/>
        <n v="9.0"/>
        <n v="10.0"/>
        <n v="12.0"/>
        <n v="17.0"/>
        <n v="18.0"/>
        <n v="19.0"/>
        <n v="22.0"/>
        <n v="23.0"/>
        <n v="24.0"/>
        <n v="25.0"/>
      </sharedItems>
    </cacheField>
    <cacheField name="valor" numFmtId="166">
      <sharedItems containsSemiMixedTypes="0" containsString="0" containsNumber="1">
        <n v="660.0"/>
        <n v="992.0"/>
        <n v="0.0"/>
        <n v="333.32"/>
        <n v="99.0"/>
        <n v="88.0"/>
        <n v="17.45"/>
        <n v="21.9"/>
        <n v="14.9"/>
        <n v="17.99"/>
        <n v="89.9"/>
        <n v="39.9"/>
        <n v="218.5"/>
        <n v="199.8"/>
        <n v="30.0"/>
        <n v="50.0"/>
        <n v="480.0"/>
        <n v="32.0"/>
        <n v="24.0"/>
        <n v="11.36"/>
        <n v="40.0"/>
        <n v="48.34"/>
        <n v="120.0"/>
        <n v="20.0"/>
        <n v="44.41"/>
        <n v="8.0"/>
        <n v="18.0"/>
        <n v="37.16"/>
        <n v="115.5"/>
        <n v="28.0"/>
        <n v="596.41"/>
        <n v="116.7"/>
        <n v="12.42"/>
        <n v="15.0"/>
        <n v="41.18"/>
        <n v="4.0"/>
        <n v="100.0"/>
        <n v="9.0"/>
        <n v="307.35"/>
        <n v="35.88"/>
        <n v="4.7"/>
        <n v="61.91"/>
        <n v="25.99"/>
        <n v="21.37"/>
        <n v="70.0"/>
        <n v="134.16"/>
        <n v="36.99"/>
        <n v="242.43"/>
        <n v="199.0"/>
        <n v="871.5"/>
        <n v="230.0"/>
        <n v="250.0"/>
        <n v="380.0"/>
        <n v="152.0"/>
        <n v="169.0"/>
        <n v="180.0"/>
        <n v="12.0"/>
        <n v="90.0"/>
        <n v="97.9"/>
        <n v="67.46"/>
        <n v="159.9"/>
        <n v="34.0"/>
        <n v="3.0"/>
        <n v="58.66"/>
        <n v="42.0"/>
        <n v="16.0"/>
        <n v="11.4"/>
        <n v="55.0"/>
        <n v="37.3"/>
        <n v="61.8"/>
        <n v="17.0"/>
        <n v="27.59"/>
        <n v="167.89"/>
        <n v="900.0"/>
        <n v="35.0"/>
        <n v="990.0"/>
        <n v="69.9"/>
        <n v="18.45"/>
        <n v="118.9"/>
        <n v="84.98"/>
        <n v="89.98"/>
        <n v="304.91"/>
        <n v="248.0"/>
      </sharedItems>
    </cacheField>
    <cacheField name="situacao" numFmtId="0">
      <sharedItems>
        <s v="pg"/>
        <s v="open"/>
      </sharedItems>
    </cacheField>
    <cacheField name="forma de pagamento" numFmtId="0">
      <sharedItems>
        <s v="boleto"/>
        <s v="debito automatico"/>
        <s v="nubank card"/>
        <s v="Pix"/>
        <s v="Bradesco cartoes"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estacionamentos"/>
        <s v="outros"/>
        <s v="Feira"/>
        <s v="Pet"/>
        <s v="mercado"/>
        <s v="manutenção domiciliar"/>
        <s v="manutencao veiculo"/>
        <s v="Padaria"/>
        <s v="utilizades domesticas"/>
        <s v="gift"/>
        <s v="manutencao veicular"/>
        <s v="Vestuario"/>
        <s v="Cabeleireiro"/>
      </sharedItems>
    </cacheField>
  </cacheFields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97" sheet="novemb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estacionamento"/>
        <s v="feira"/>
        <s v="habibs"/>
        <s v="cinemark"/>
        <s v="padaria"/>
        <s v="gasolina"/>
        <s v="assai"/>
        <s v="roupas fitness"/>
        <s v="drogaria"/>
        <s v="cadeira"/>
        <s v="petshop"/>
        <s v="veterinaria"/>
        <s v="kamaro racoes"/>
        <s v="chavao"/>
        <s v="lava jato"/>
        <s v="portilho e goncalves c"/>
        <s v="farmacia apolo x"/>
        <s v="berlinf8Centro automotivo"/>
        <s v="rafitto empadas"/>
        <s v="pollo do fonseca"/>
        <s v="purogas mutua "/>
        <s v="Americanas"/>
        <s v="assai "/>
        <s v="tatiana barreto lima"/>
        <s v="pes e patas"/>
        <s v="toparena"/>
        <s v="sams club"/>
        <s v="fsSao goncalo Av pr"/>
        <s v="outback"/>
        <s v="grupo genius brasil"/>
        <s v="atacadao"/>
        <s v="racoessilva muniz"/>
        <s v="posto gira nova"/>
        <s v="francisco deassis"/>
        <s v="netshoes"/>
        <s v="53 mutua"/>
        <s v="tere verduras"/>
        <s v="cia doce"/>
        <s v="g pet shop"/>
        <s v="petz"/>
        <s v="hg figueiredo"/>
        <s v="carrefour"/>
        <s v="gnv"/>
        <s v="sorvetes"/>
        <s v="samanta"/>
        <s v="ventilador amazopn"/>
        <s v="cafe"/>
        <s v="racao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0.0"/>
        <n v="1.0"/>
        <n v="3.0"/>
        <n v="4.0"/>
        <n v="6.0"/>
        <n v="9.0"/>
        <n v="10.0"/>
        <n v="12.0"/>
        <n v="13.0"/>
        <n v="16.0"/>
        <n v="17.0"/>
        <n v="18.0"/>
        <n v="21.0"/>
        <n v="22.0"/>
        <n v="23.0"/>
        <n v="25.0"/>
        <n v="24.0"/>
      </sharedItems>
    </cacheField>
    <cacheField name="valor" numFmtId="166">
      <sharedItems containsString="0" containsBlank="1" containsNumber="1">
        <n v="660.0"/>
        <n v="992.0"/>
        <n v="0.0"/>
        <n v="333.32"/>
        <n v="99.0"/>
        <n v="88.0"/>
        <n v="17.45"/>
        <n v="14.9"/>
        <n v="14.99"/>
        <n v="89.9"/>
        <n v="39.9"/>
        <n v="218.5"/>
        <n v="199.8"/>
        <n v="50.0"/>
        <n v="480.0"/>
        <n v="17.0"/>
        <n v="9.65"/>
        <n v="33.89"/>
        <n v="75.5"/>
        <n v="5.0"/>
        <n v="25.0"/>
        <n v="290.52"/>
        <n v="15.4"/>
        <n v="39.95"/>
        <n v="170.0"/>
        <n v="26.99"/>
        <n v="398.58"/>
        <n v="69.8"/>
        <n v="29.95"/>
        <n v="200.0"/>
        <n v="35.0"/>
        <n v="19.99"/>
        <n v="25.67"/>
        <n v="4.0"/>
        <n v="16.0"/>
        <n v="19.75"/>
        <n v="29.99"/>
        <n v="73.78"/>
        <n v="8.27"/>
        <n v="159.31"/>
        <n v="97.9"/>
        <n v="8.0"/>
        <n v="85.6"/>
        <n v="62.78"/>
        <n v="216.72"/>
        <n v="49.84"/>
        <n v="342.0"/>
        <n v="30.0"/>
        <n v="9.96"/>
        <n v="39.93"/>
        <n v="43.81"/>
        <n v="290.99"/>
        <n v="56.0"/>
        <n v="19.85"/>
        <n v="48.32"/>
        <n v="43.8"/>
        <n v="362.8"/>
        <n v="150.01"/>
        <n v="28.52"/>
        <n v="92.12"/>
        <m/>
      </sharedItems>
    </cacheField>
    <cacheField name="situacao" numFmtId="0">
      <sharedItems containsBlank="1">
        <s v="pg"/>
        <s v="open"/>
        <m/>
      </sharedItems>
    </cacheField>
    <cacheField name="forma de pagamento" numFmtId="0">
      <sharedItems containsBlank="1">
        <s v="boleto"/>
        <s v="debito automatico"/>
        <s v="nubank card"/>
        <s v="Pix"/>
        <s v="Bradesco cartoes"/>
        <m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7" sheet="novemb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estacionamento"/>
        <s v="feira"/>
        <s v="habibs"/>
        <s v="cinemark"/>
        <s v="padaria"/>
        <s v="gasolina"/>
        <s v="assai"/>
        <s v="roupas fitness"/>
        <s v="drogaria"/>
        <s v="cadeira"/>
        <s v="petshop"/>
        <s v="veterinaria"/>
        <s v="kamaro racoes"/>
        <s v="chavao"/>
        <s v="lava jato"/>
        <s v="portilho e goncalves c"/>
        <s v="farmacia apolo x"/>
        <s v="berlinf8Centro automotivo"/>
        <s v="rafitto empadas"/>
        <s v="pollo do fonseca"/>
        <s v="purogas mutua "/>
        <s v="Americanas"/>
        <s v="assai "/>
        <s v="tatiana barreto lima"/>
        <s v="pes e patas"/>
        <s v="toparena"/>
        <s v="sams club"/>
        <s v="fsSao goncalo Av pr"/>
        <s v="outback"/>
        <s v="grupo genius brasil"/>
        <s v="atacadao"/>
        <s v="racoessilva muniz"/>
        <s v="posto gira nova"/>
        <s v="francisco deassis"/>
        <s v="netshoes"/>
        <s v="53 mutua"/>
        <s v="tere verduras"/>
        <s v="cia doce"/>
        <s v="g pet shop"/>
        <s v="petz"/>
        <s v="hg figueiredo"/>
        <s v="carrefour"/>
        <s v="gnv"/>
        <s v="sorvetes"/>
        <s v="samanta"/>
        <s v="ventilador amazopn"/>
        <s v="cafe"/>
        <s v="racao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0.0"/>
        <n v="1.0"/>
        <n v="3.0"/>
        <n v="4.0"/>
        <n v="6.0"/>
        <n v="9.0"/>
        <n v="10.0"/>
        <n v="12.0"/>
        <n v="13.0"/>
        <n v="16.0"/>
        <n v="17.0"/>
        <n v="18.0"/>
        <n v="21.0"/>
        <n v="22.0"/>
        <n v="23.0"/>
        <n v="25.0"/>
        <n v="24.0"/>
      </sharedItems>
    </cacheField>
    <cacheField name="valor" numFmtId="166">
      <sharedItems containsString="0" containsBlank="1" containsNumber="1">
        <n v="660.0"/>
        <n v="992.0"/>
        <n v="0.0"/>
        <n v="333.32"/>
        <n v="99.0"/>
        <n v="88.0"/>
        <n v="17.45"/>
        <n v="14.9"/>
        <n v="14.99"/>
        <n v="89.9"/>
        <n v="39.9"/>
        <n v="218.5"/>
        <n v="199.8"/>
        <n v="50.0"/>
        <n v="480.0"/>
        <n v="17.0"/>
        <n v="9.65"/>
        <n v="33.89"/>
        <n v="75.5"/>
        <n v="5.0"/>
        <n v="25.0"/>
        <n v="290.52"/>
        <n v="15.4"/>
        <n v="39.95"/>
        <n v="170.0"/>
        <n v="26.99"/>
        <n v="398.58"/>
        <n v="69.8"/>
        <n v="29.95"/>
        <n v="200.0"/>
        <n v="35.0"/>
        <n v="19.99"/>
        <n v="25.67"/>
        <n v="4.0"/>
        <n v="16.0"/>
        <n v="19.75"/>
        <n v="29.99"/>
        <n v="73.78"/>
        <n v="8.27"/>
        <n v="159.31"/>
        <n v="97.9"/>
        <n v="8.0"/>
        <n v="85.6"/>
        <n v="62.78"/>
        <n v="216.72"/>
        <n v="49.84"/>
        <n v="342.0"/>
        <n v="30.0"/>
        <n v="9.96"/>
        <n v="39.93"/>
        <n v="43.81"/>
        <n v="290.99"/>
        <n v="56.0"/>
        <n v="19.85"/>
        <n v="48.32"/>
        <n v="43.8"/>
        <n v="362.8"/>
        <n v="150.01"/>
        <n v="28.52"/>
        <n v="92.12"/>
        <m/>
      </sharedItems>
    </cacheField>
    <cacheField name="situacao" numFmtId="0">
      <sharedItems containsBlank="1">
        <s v="pg"/>
        <s v="open"/>
        <m/>
      </sharedItems>
    </cacheField>
    <cacheField name="forma de pagamento" numFmtId="0">
      <sharedItems containsBlank="1">
        <s v="boleto"/>
        <s v="debito automatico"/>
        <s v="nubank card"/>
        <s v="Pix"/>
        <s v="Bradesco cartoes"/>
        <m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7" sheet="novemb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estacionamento"/>
        <s v="feira"/>
        <s v="habibs"/>
        <s v="cinemark"/>
        <s v="padaria"/>
        <s v="gasolina"/>
        <s v="assai"/>
        <s v="roupas fitness"/>
        <s v="drogaria"/>
        <s v="cadeira"/>
        <s v="petshop"/>
        <s v="veterinaria"/>
        <s v="kamaro racoes"/>
        <s v="chavao"/>
        <s v="lava jato"/>
        <s v="portilho e goncalves c"/>
        <s v="farmacia apolo x"/>
        <s v="berlinf8Centro automotivo"/>
        <s v="rafitto empadas"/>
        <s v="pollo do fonseca"/>
        <s v="purogas mutua "/>
        <s v="Americanas"/>
        <s v="assai "/>
        <s v="tatiana barreto lima"/>
        <s v="pes e patas"/>
        <s v="toparena"/>
        <s v="sams club"/>
        <s v="fsSao goncalo Av pr"/>
        <s v="outback"/>
        <s v="grupo genius brasil"/>
        <s v="atacadao"/>
        <s v="racoessilva muniz"/>
        <s v="posto gira nova"/>
        <s v="francisco deassis"/>
        <s v="netshoes"/>
        <s v="53 mutua"/>
        <s v="tere verduras"/>
        <s v="cia doce"/>
        <s v="g pet shop"/>
        <s v="petz"/>
        <s v="hg figueiredo"/>
        <s v="carrefour"/>
        <s v="gnv"/>
        <s v="sorvetes"/>
        <s v="samanta"/>
        <s v="ventilador amazopn"/>
        <s v="cafe"/>
        <s v="racao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0.0"/>
        <n v="1.0"/>
        <n v="3.0"/>
        <n v="4.0"/>
        <n v="6.0"/>
        <n v="9.0"/>
        <n v="10.0"/>
        <n v="12.0"/>
        <n v="13.0"/>
        <n v="16.0"/>
        <n v="17.0"/>
        <n v="18.0"/>
        <n v="21.0"/>
        <n v="22.0"/>
        <n v="23.0"/>
        <n v="25.0"/>
        <n v="24.0"/>
      </sharedItems>
    </cacheField>
    <cacheField name="valor" numFmtId="166">
      <sharedItems containsString="0" containsBlank="1" containsNumber="1">
        <n v="660.0"/>
        <n v="992.0"/>
        <n v="0.0"/>
        <n v="333.32"/>
        <n v="99.0"/>
        <n v="88.0"/>
        <n v="17.45"/>
        <n v="14.9"/>
        <n v="14.99"/>
        <n v="89.9"/>
        <n v="39.9"/>
        <n v="218.5"/>
        <n v="199.8"/>
        <n v="50.0"/>
        <n v="480.0"/>
        <n v="17.0"/>
        <n v="9.65"/>
        <n v="33.89"/>
        <n v="75.5"/>
        <n v="5.0"/>
        <n v="25.0"/>
        <n v="290.52"/>
        <n v="15.4"/>
        <n v="39.95"/>
        <n v="170.0"/>
        <n v="26.99"/>
        <n v="398.58"/>
        <n v="69.8"/>
        <n v="29.95"/>
        <n v="200.0"/>
        <n v="35.0"/>
        <n v="19.99"/>
        <n v="25.67"/>
        <n v="4.0"/>
        <n v="16.0"/>
        <n v="19.75"/>
        <n v="29.99"/>
        <n v="73.78"/>
        <n v="8.27"/>
        <n v="159.31"/>
        <n v="97.9"/>
        <n v="8.0"/>
        <n v="85.6"/>
        <n v="62.78"/>
        <n v="216.72"/>
        <n v="49.84"/>
        <n v="342.0"/>
        <n v="30.0"/>
        <n v="9.96"/>
        <n v="39.93"/>
        <n v="43.81"/>
        <n v="290.99"/>
        <n v="56.0"/>
        <n v="19.85"/>
        <n v="48.32"/>
        <n v="43.8"/>
        <n v="362.8"/>
        <n v="150.01"/>
        <n v="28.52"/>
        <n v="92.12"/>
        <m/>
      </sharedItems>
    </cacheField>
    <cacheField name="situacao" numFmtId="0">
      <sharedItems containsBlank="1">
        <s v="pg"/>
        <s v="open"/>
        <m/>
      </sharedItems>
    </cacheField>
    <cacheField name="forma de pagamento" numFmtId="0">
      <sharedItems containsBlank="1">
        <s v="boleto"/>
        <s v="debito automatico"/>
        <s v="nubank card"/>
        <s v="Pix"/>
        <s v="Bradesco cartoes"/>
        <m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estacionamentos"/>
        <s v="Feira"/>
        <s v="Padaria"/>
        <s v="mercado"/>
        <s v="Vestuario"/>
        <s v="farmacia"/>
        <s v="manutenção domiciliar"/>
        <s v="Pet"/>
        <s v="manutencao veicular"/>
        <s v="outros"/>
        <s v="utilizades domesticas"/>
        <m/>
      </sharedItems>
    </cacheField>
  </cacheFields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97" sheet="outub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padaria"/>
        <s v="corte cabelo arthur"/>
        <s v="camisas"/>
        <s v="aliexpress"/>
        <s v="oculos"/>
        <s v="mc donalds"/>
        <s v="pijama"/>
        <s v="Racao AMY"/>
        <s v="lampada carro"/>
        <s v="gnv"/>
        <s v="sams club"/>
        <s v="pedagio"/>
        <s v="Chavao"/>
        <s v="manutencao casa"/>
        <s v="mercado"/>
        <s v="troca de oleo"/>
        <s v="gasolina"/>
        <s v="drogaria pacheco"/>
        <s v="carrefour"/>
        <s v="sorvetes"/>
        <s v="estacionamento"/>
        <s v="bolo"/>
        <s v="comida tortuguita"/>
        <s v="camisa barcelona"/>
        <s v="sacolao"/>
        <s v="eskimo"/>
        <s v="jogo nitendo"/>
        <s v="manutencao gnv"/>
        <s v="vistoria gnv"/>
        <s v="magna cozinha e f"/>
        <s v="drograria"/>
        <s v="o boticario"/>
        <s v="cea calca"/>
        <s v="arena"/>
        <s v="frango"/>
        <s v="curso frances"/>
        <s v="feira"/>
        <s v="guanabara"/>
        <s v="casa pedro"/>
        <s v="drogaria tamoio"/>
        <s v="assai"/>
        <s v="g pet shop"/>
        <s v="petz"/>
        <s v="petshop"/>
        <s v="samanta"/>
        <s v="ventilador amazopn"/>
        <s v="cafe"/>
        <s v="racao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0.0"/>
        <n v="1.0"/>
        <n v="3.0"/>
        <n v="4.0"/>
        <n v="6.0"/>
        <n v="9.0"/>
        <n v="10.0"/>
        <n v="12.0"/>
        <n v="13.0"/>
        <n v="16.0"/>
        <n v="18.0"/>
        <n v="19.0"/>
        <n v="21.0"/>
        <n v="22.0"/>
        <n v="23.0"/>
        <n v="24.0"/>
        <n v="25.0"/>
      </sharedItems>
    </cacheField>
    <cacheField name="valor" numFmtId="166">
      <sharedItems containsString="0" containsBlank="1" containsNumber="1">
        <n v="660.0"/>
        <n v="992.0"/>
        <n v="0.0"/>
        <n v="407.0"/>
        <n v="99.0"/>
        <n v="88.0"/>
        <n v="17.45"/>
        <n v="14.9"/>
        <n v="14.99"/>
        <n v="89.9"/>
        <n v="39.9"/>
        <n v="218.5"/>
        <n v="199.8"/>
        <n v="83.0"/>
        <n v="480.0"/>
        <n v="4.0"/>
        <n v="50.0"/>
        <n v="100.0"/>
        <n v="15.9"/>
        <n v="30.0"/>
        <n v="92.14"/>
        <n v="10.0"/>
        <n v="97.9"/>
        <n v="58.61"/>
        <n v="172.86"/>
        <n v="330.0"/>
        <n v="23.0"/>
        <n v="47.84"/>
        <n v="14.64"/>
        <n v="290.0"/>
        <n v="17.36"/>
        <n v="98.5"/>
        <n v="15.75"/>
        <n v="17.0"/>
        <n v="78.83"/>
        <n v="75.0"/>
        <n v="62.8"/>
        <n v="44.44"/>
        <n v="20.0"/>
        <n v="9.6"/>
        <n v="20.25"/>
        <n v="6.0"/>
        <n v="50.16"/>
        <n v="28.0"/>
        <n v="174.99"/>
        <n v="60.0"/>
        <n v="250.0"/>
        <n v="147.77"/>
        <n v="6.48"/>
        <n v="56.9"/>
        <n v="119.99"/>
        <n v="8.0"/>
        <n v="15.0"/>
        <n v="1326.51"/>
        <n v="6.7"/>
        <n v="40.0"/>
        <n v="7.99"/>
        <n v="286.24"/>
        <n v="37.92"/>
        <n v="5.0"/>
        <n v="82.7"/>
        <n v="261.66"/>
        <n v="9.75"/>
        <n v="90.9"/>
        <n v="48.05"/>
        <n v="459.57"/>
        <n v="14.0"/>
        <n v="16.0"/>
        <n v="59.75"/>
        <n v="25.8"/>
        <n v="230.0"/>
        <n v="222.51"/>
        <n v="107.91"/>
        <n v="468.18"/>
        <m/>
      </sharedItems>
    </cacheField>
    <cacheField name="situacao" numFmtId="0">
      <sharedItems containsBlank="1">
        <s v="pg"/>
        <s v="open"/>
        <m/>
      </sharedItems>
    </cacheField>
    <cacheField name="forma de pagamento" numFmtId="0">
      <sharedItems containsBlank="1">
        <s v="boleto"/>
        <s v="debito automatico"/>
        <s v="nubank card"/>
        <s v="Pix"/>
        <s v="Bradesco cartoes"/>
        <m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7" sheet="outub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padaria"/>
        <s v="corte cabelo arthur"/>
        <s v="camisas"/>
        <s v="aliexpress"/>
        <s v="oculos"/>
        <s v="mc donalds"/>
        <s v="pijama"/>
        <s v="Racao AMY"/>
        <s v="lampada carro"/>
        <s v="gnv"/>
        <s v="sams club"/>
        <s v="pedagio"/>
        <s v="Chavao"/>
        <s v="manutencao casa"/>
        <s v="mercado"/>
        <s v="troca de oleo"/>
        <s v="gasolina"/>
        <s v="drogaria pacheco"/>
        <s v="carrefour"/>
        <s v="sorvetes"/>
        <s v="estacionamento"/>
        <s v="bolo"/>
        <s v="comida tortuguita"/>
        <s v="camisa barcelona"/>
        <s v="sacolao"/>
        <s v="eskimo"/>
        <s v="jogo nitendo"/>
        <s v="manutencao gnv"/>
        <s v="vistoria gnv"/>
        <s v="magna cozinha e f"/>
        <s v="drograria"/>
        <s v="o boticario"/>
        <s v="cea calca"/>
        <s v="arena"/>
        <s v="frango"/>
        <s v="curso frances"/>
        <s v="feira"/>
        <s v="guanabara"/>
        <s v="casa pedro"/>
        <s v="drogaria tamoio"/>
        <s v="assai"/>
        <s v="g pet shop"/>
        <s v="petz"/>
        <s v="petshop"/>
        <s v="samanta"/>
        <s v="ventilador amazopn"/>
        <s v="cafe"/>
        <s v="racao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0.0"/>
        <n v="1.0"/>
        <n v="3.0"/>
        <n v="4.0"/>
        <n v="6.0"/>
        <n v="9.0"/>
        <n v="10.0"/>
        <n v="12.0"/>
        <n v="13.0"/>
        <n v="16.0"/>
        <n v="18.0"/>
        <n v="19.0"/>
        <n v="21.0"/>
        <n v="22.0"/>
        <n v="23.0"/>
        <n v="24.0"/>
        <n v="25.0"/>
      </sharedItems>
    </cacheField>
    <cacheField name="valor" numFmtId="166">
      <sharedItems containsString="0" containsBlank="1" containsNumber="1">
        <n v="660.0"/>
        <n v="992.0"/>
        <n v="0.0"/>
        <n v="407.0"/>
        <n v="99.0"/>
        <n v="88.0"/>
        <n v="17.45"/>
        <n v="14.9"/>
        <n v="14.99"/>
        <n v="89.9"/>
        <n v="39.9"/>
        <n v="218.5"/>
        <n v="199.8"/>
        <n v="83.0"/>
        <n v="480.0"/>
        <n v="4.0"/>
        <n v="50.0"/>
        <n v="100.0"/>
        <n v="15.9"/>
        <n v="30.0"/>
        <n v="92.14"/>
        <n v="10.0"/>
        <n v="97.9"/>
        <n v="58.61"/>
        <n v="172.86"/>
        <n v="330.0"/>
        <n v="23.0"/>
        <n v="47.84"/>
        <n v="14.64"/>
        <n v="290.0"/>
        <n v="17.36"/>
        <n v="98.5"/>
        <n v="15.75"/>
        <n v="17.0"/>
        <n v="78.83"/>
        <n v="75.0"/>
        <n v="62.8"/>
        <n v="44.44"/>
        <n v="20.0"/>
        <n v="9.6"/>
        <n v="20.25"/>
        <n v="6.0"/>
        <n v="50.16"/>
        <n v="28.0"/>
        <n v="174.99"/>
        <n v="60.0"/>
        <n v="250.0"/>
        <n v="147.77"/>
        <n v="6.48"/>
        <n v="56.9"/>
        <n v="119.99"/>
        <n v="8.0"/>
        <n v="15.0"/>
        <n v="1326.51"/>
        <n v="6.7"/>
        <n v="40.0"/>
        <n v="7.99"/>
        <n v="286.24"/>
        <n v="37.92"/>
        <n v="5.0"/>
        <n v="82.7"/>
        <n v="261.66"/>
        <n v="9.75"/>
        <n v="90.9"/>
        <n v="48.05"/>
        <n v="459.57"/>
        <n v="14.0"/>
        <n v="16.0"/>
        <n v="59.75"/>
        <n v="25.8"/>
        <n v="230.0"/>
        <n v="222.51"/>
        <n v="107.91"/>
        <n v="468.18"/>
        <m/>
      </sharedItems>
    </cacheField>
    <cacheField name="situacao" numFmtId="0">
      <sharedItems containsBlank="1">
        <s v="pg"/>
        <s v="open"/>
        <m/>
      </sharedItems>
    </cacheField>
    <cacheField name="forma de pagamento" numFmtId="0">
      <sharedItems containsBlank="1">
        <s v="boleto"/>
        <s v="debito automatico"/>
        <s v="nubank card"/>
        <s v="Pix"/>
        <s v="Bradesco cartoes"/>
        <m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7" sheet="outub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recarga arthur"/>
        <s v="recarga Aline"/>
        <s v="Futebol Alex"/>
        <s v="Combustivel"/>
        <s v="Personal"/>
        <s v="padaria"/>
        <s v="corte cabelo arthur"/>
        <s v="camisas"/>
        <s v="aliexpress"/>
        <s v="oculos"/>
        <s v="mc donalds"/>
        <s v="pijama"/>
        <s v="Racao AMY"/>
        <s v="lampada carro"/>
        <s v="gnv"/>
        <s v="sams club"/>
        <s v="pedagio"/>
        <s v="Chavao"/>
        <s v="manutencao casa"/>
        <s v="mercado"/>
        <s v="troca de oleo"/>
        <s v="gasolina"/>
        <s v="drogaria pacheco"/>
        <s v="carrefour"/>
        <s v="sorvetes"/>
        <s v="estacionamento"/>
        <s v="bolo"/>
        <s v="comida tortuguita"/>
        <s v="camisa barcelona"/>
        <s v="sacolao"/>
        <s v="eskimo"/>
        <s v="jogo nitendo"/>
        <s v="manutencao gnv"/>
        <s v="vistoria gnv"/>
        <s v="magna cozinha e f"/>
        <s v="drograria"/>
        <s v="o boticario"/>
        <s v="cea calca"/>
        <s v="arena"/>
        <s v="frango"/>
        <s v="curso frances"/>
        <s v="feira"/>
        <s v="guanabara"/>
        <s v="casa pedro"/>
        <s v="drogaria tamoio"/>
        <s v="assai"/>
        <s v="g pet shop"/>
        <s v="petz"/>
        <s v="petshop"/>
        <s v="samanta"/>
        <s v="ventilador amazopn"/>
        <s v="cafe"/>
        <s v="racao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0.0"/>
        <n v="1.0"/>
        <n v="3.0"/>
        <n v="4.0"/>
        <n v="6.0"/>
        <n v="9.0"/>
        <n v="10.0"/>
        <n v="12.0"/>
        <n v="13.0"/>
        <n v="16.0"/>
        <n v="18.0"/>
        <n v="19.0"/>
        <n v="21.0"/>
        <n v="22.0"/>
        <n v="23.0"/>
        <n v="24.0"/>
        <n v="25.0"/>
      </sharedItems>
    </cacheField>
    <cacheField name="valor" numFmtId="166">
      <sharedItems containsString="0" containsBlank="1" containsNumber="1">
        <n v="660.0"/>
        <n v="992.0"/>
        <n v="0.0"/>
        <n v="407.0"/>
        <n v="99.0"/>
        <n v="88.0"/>
        <n v="17.45"/>
        <n v="14.9"/>
        <n v="14.99"/>
        <n v="89.9"/>
        <n v="39.9"/>
        <n v="218.5"/>
        <n v="199.8"/>
        <n v="83.0"/>
        <n v="480.0"/>
        <n v="4.0"/>
        <n v="50.0"/>
        <n v="100.0"/>
        <n v="15.9"/>
        <n v="30.0"/>
        <n v="92.14"/>
        <n v="10.0"/>
        <n v="97.9"/>
        <n v="58.61"/>
        <n v="172.86"/>
        <n v="330.0"/>
        <n v="23.0"/>
        <n v="47.84"/>
        <n v="14.64"/>
        <n v="290.0"/>
        <n v="17.36"/>
        <n v="98.5"/>
        <n v="15.75"/>
        <n v="17.0"/>
        <n v="78.83"/>
        <n v="75.0"/>
        <n v="62.8"/>
        <n v="44.44"/>
        <n v="20.0"/>
        <n v="9.6"/>
        <n v="20.25"/>
        <n v="6.0"/>
        <n v="50.16"/>
        <n v="28.0"/>
        <n v="174.99"/>
        <n v="60.0"/>
        <n v="250.0"/>
        <n v="147.77"/>
        <n v="6.48"/>
        <n v="56.9"/>
        <n v="119.99"/>
        <n v="8.0"/>
        <n v="15.0"/>
        <n v="1326.51"/>
        <n v="6.7"/>
        <n v="40.0"/>
        <n v="7.99"/>
        <n v="286.24"/>
        <n v="37.92"/>
        <n v="5.0"/>
        <n v="82.7"/>
        <n v="261.66"/>
        <n v="9.75"/>
        <n v="90.9"/>
        <n v="48.05"/>
        <n v="459.57"/>
        <n v="14.0"/>
        <n v="16.0"/>
        <n v="59.75"/>
        <n v="25.8"/>
        <n v="230.0"/>
        <n v="222.51"/>
        <n v="107.91"/>
        <n v="468.18"/>
        <m/>
      </sharedItems>
    </cacheField>
    <cacheField name="situacao" numFmtId="0">
      <sharedItems containsBlank="1">
        <s v="pg"/>
        <s v="open"/>
        <m/>
      </sharedItems>
    </cacheField>
    <cacheField name="forma de pagamento" numFmtId="0">
      <sharedItems containsBlank="1">
        <s v="boleto"/>
        <s v="debito automatico"/>
        <s v="nubank card"/>
        <s v="Pix"/>
        <s v="Bradesco cartoes"/>
        <m/>
      </sharedItems>
    </cacheField>
    <cacheField name="beneficiado" numFmtId="0">
      <sharedItems containsBlank="1">
        <s v="Arthur"/>
        <s v="Aline"/>
        <s v="Alex"/>
        <s v="familia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cursos"/>
        <s v="academia"/>
        <s v="Lazer"/>
        <s v="combustivel"/>
        <s v="Padaria"/>
        <s v="Pet"/>
        <s v="outros"/>
        <s v="Vestuario"/>
        <s v="manutencao veicular"/>
        <s v="mercado"/>
        <s v="estacionamentos"/>
        <s v="manutenção domiciliar"/>
        <s v="farmacia"/>
        <s v="gift"/>
        <s v="utilizades domesticas"/>
        <s v="Feira"/>
        <m/>
      </sharedItems>
    </cacheField>
  </cacheFields>
</pivotCacheDefinition>
</file>

<file path=xl/pivotCache/pivotCacheDefinition7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setemb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seguro PIER carro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Personal"/>
        <s v="padaria"/>
        <s v="corte cabelo arthur"/>
        <s v="camisas"/>
        <s v="otica rhema"/>
        <s v="Tratamento Ozonio"/>
        <s v="Lava a jato"/>
        <s v="mangueira piscina"/>
        <s v="gnv"/>
        <s v="lanche"/>
        <s v="assai"/>
        <s v="gas de cozinha"/>
        <s v="raçao AMY"/>
        <s v="cinto de seguranca"/>
        <s v="hortifruit"/>
        <s v="guanabara"/>
        <s v="raçõ tortuguita"/>
        <s v="atacadao"/>
        <s v="racao"/>
        <s v="sorvete"/>
        <s v="gasolina"/>
        <s v="empada"/>
        <s v="adonai"/>
        <s v="carrefour"/>
        <s v="pes e patas "/>
        <s v="bk"/>
        <s v="gasolina carrefour"/>
        <s v="mercado"/>
        <s v="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0.0"/>
        <n v="1.0"/>
        <n v="24.0"/>
        <n v="4.0"/>
        <n v="18.0"/>
        <n v="3.0"/>
        <n v="12.0"/>
        <n v="13.0"/>
        <n v="19.0"/>
        <n v="21.0"/>
        <n v="22.0"/>
        <n v="23.0"/>
        <n v="25.0"/>
      </sharedItems>
    </cacheField>
    <cacheField name="valor" numFmtId="166">
      <sharedItems containsString="0" containsBlank="1" containsNumber="1">
        <n v="660.0"/>
        <n v="608.0"/>
        <n v="0.0"/>
        <n v="511.0"/>
        <n v="99.0"/>
        <n v="88.0"/>
        <n v="17.45"/>
        <n v="14.9"/>
        <n v="14.99"/>
        <n v="89.9"/>
        <n v="39.9"/>
        <n v="218.5"/>
        <n v="199.8"/>
        <n v="65.0"/>
        <n v="480.0"/>
        <n v="4.0"/>
        <n v="38.0"/>
        <n v="121.42"/>
        <n v="362.95"/>
        <n v="100.0"/>
        <n v="160.0"/>
        <n v="8.0"/>
        <n v="50.0"/>
        <n v="20.0"/>
        <n v="7.9"/>
        <n v="183.48"/>
        <n v="180.0"/>
        <n v="40.62"/>
        <n v="131.8"/>
        <n v="991.28"/>
        <n v="120.02"/>
        <n v="42.9"/>
        <n v="183.81"/>
        <n v="39.85"/>
        <n v="165.9"/>
        <n v="24.5"/>
        <n v="115.27"/>
        <n v="39.43"/>
        <n v="695.37"/>
        <n v="22.0"/>
        <n v="12.0"/>
        <n v="37.54"/>
        <n v="57.14"/>
        <n v="32.7"/>
        <n v="10.4"/>
        <n v="81.9"/>
        <n v="34.9"/>
        <n v="57.8"/>
        <n v="30.0"/>
        <n v="5.68"/>
        <n v="289.65"/>
        <n v="41.3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7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setemb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seguro PIER carro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Personal"/>
        <s v="padaria"/>
        <s v="corte cabelo arthur"/>
        <s v="camisas"/>
        <s v="otica rhema"/>
        <s v="Tratamento Ozonio"/>
        <s v="Lava a jato"/>
        <s v="mangueira piscina"/>
        <s v="gnv"/>
        <s v="lanche"/>
        <s v="assai"/>
        <s v="gas de cozinha"/>
        <s v="raçao AMY"/>
        <s v="cinto de seguranca"/>
        <s v="hortifruit"/>
        <s v="guanabara"/>
        <s v="raçõ tortuguita"/>
        <s v="atacadao"/>
        <s v="racao"/>
        <s v="sorvete"/>
        <s v="gasolina"/>
        <s v="empada"/>
        <s v="adonai"/>
        <s v="carrefour"/>
        <s v="pes e patas "/>
        <s v="bk"/>
        <s v="gasolina carrefour"/>
        <s v="mercado"/>
        <s v="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0.0"/>
        <n v="1.0"/>
        <n v="24.0"/>
        <n v="4.0"/>
        <n v="18.0"/>
        <n v="3.0"/>
        <n v="12.0"/>
        <n v="13.0"/>
        <n v="19.0"/>
        <n v="21.0"/>
        <n v="22.0"/>
        <n v="23.0"/>
        <n v="25.0"/>
      </sharedItems>
    </cacheField>
    <cacheField name="valor" numFmtId="166">
      <sharedItems containsString="0" containsBlank="1" containsNumber="1">
        <n v="660.0"/>
        <n v="608.0"/>
        <n v="0.0"/>
        <n v="511.0"/>
        <n v="99.0"/>
        <n v="88.0"/>
        <n v="17.45"/>
        <n v="14.9"/>
        <n v="14.99"/>
        <n v="89.9"/>
        <n v="39.9"/>
        <n v="218.5"/>
        <n v="199.8"/>
        <n v="65.0"/>
        <n v="480.0"/>
        <n v="4.0"/>
        <n v="38.0"/>
        <n v="121.42"/>
        <n v="362.95"/>
        <n v="100.0"/>
        <n v="160.0"/>
        <n v="8.0"/>
        <n v="50.0"/>
        <n v="20.0"/>
        <n v="7.9"/>
        <n v="183.48"/>
        <n v="180.0"/>
        <n v="40.62"/>
        <n v="131.8"/>
        <n v="991.28"/>
        <n v="120.02"/>
        <n v="42.9"/>
        <n v="183.81"/>
        <n v="39.85"/>
        <n v="165.9"/>
        <n v="24.5"/>
        <n v="115.27"/>
        <n v="39.43"/>
        <n v="695.37"/>
        <n v="22.0"/>
        <n v="12.0"/>
        <n v="37.54"/>
        <n v="57.14"/>
        <n v="32.7"/>
        <n v="10.4"/>
        <n v="81.9"/>
        <n v="34.9"/>
        <n v="57.8"/>
        <n v="30.0"/>
        <n v="5.68"/>
        <n v="289.65"/>
        <n v="41.3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m/>
      </sharedItems>
    </cacheField>
    <cacheField name="centro de custo" numFmtId="0">
      <sharedItems containsBlank="1">
        <s v="despesas essenciais"/>
        <m/>
      </sharedItems>
    </cacheField>
  </cacheFields>
</pivotCacheDefinition>
</file>

<file path=xl/pivotCache/pivotCacheDefinition7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setemb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seguro PIER carro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Personal"/>
        <s v="padaria"/>
        <s v="corte cabelo arthur"/>
        <s v="camisas"/>
        <s v="otica rhema"/>
        <s v="Tratamento Ozonio"/>
        <s v="Lava a jato"/>
        <s v="mangueira piscina"/>
        <s v="gnv"/>
        <s v="lanche"/>
        <s v="assai"/>
        <s v="gas de cozinha"/>
        <s v="raçao AMY"/>
        <s v="cinto de seguranca"/>
        <s v="hortifruit"/>
        <s v="guanabara"/>
        <s v="raçõ tortuguita"/>
        <s v="atacadao"/>
        <s v="racao"/>
        <s v="sorvete"/>
        <s v="gasolina"/>
        <s v="empada"/>
        <s v="adonai"/>
        <s v="carrefour"/>
        <s v="pes e patas "/>
        <s v="bk"/>
        <s v="gasolina carrefour"/>
        <s v="mercado"/>
        <s v="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0.0"/>
        <n v="1.0"/>
        <n v="24.0"/>
        <n v="4.0"/>
        <n v="18.0"/>
        <n v="3.0"/>
        <n v="12.0"/>
        <n v="13.0"/>
        <n v="19.0"/>
        <n v="21.0"/>
        <n v="22.0"/>
        <n v="23.0"/>
        <n v="25.0"/>
      </sharedItems>
    </cacheField>
    <cacheField name="valor" numFmtId="166">
      <sharedItems containsString="0" containsBlank="1" containsNumber="1">
        <n v="660.0"/>
        <n v="608.0"/>
        <n v="0.0"/>
        <n v="511.0"/>
        <n v="99.0"/>
        <n v="88.0"/>
        <n v="17.45"/>
        <n v="14.9"/>
        <n v="14.99"/>
        <n v="89.9"/>
        <n v="39.9"/>
        <n v="218.5"/>
        <n v="199.8"/>
        <n v="65.0"/>
        <n v="480.0"/>
        <n v="4.0"/>
        <n v="38.0"/>
        <n v="121.42"/>
        <n v="362.95"/>
        <n v="100.0"/>
        <n v="160.0"/>
        <n v="8.0"/>
        <n v="50.0"/>
        <n v="20.0"/>
        <n v="7.9"/>
        <n v="183.48"/>
        <n v="180.0"/>
        <n v="40.62"/>
        <n v="131.8"/>
        <n v="991.28"/>
        <n v="120.02"/>
        <n v="42.9"/>
        <n v="183.81"/>
        <n v="39.85"/>
        <n v="165.9"/>
        <n v="24.5"/>
        <n v="115.27"/>
        <n v="39.43"/>
        <n v="695.37"/>
        <n v="22.0"/>
        <n v="12.0"/>
        <n v="37.54"/>
        <n v="57.14"/>
        <n v="32.7"/>
        <n v="10.4"/>
        <n v="81.9"/>
        <n v="34.9"/>
        <n v="57.8"/>
        <n v="30.0"/>
        <n v="5.68"/>
        <n v="289.65"/>
        <n v="41.3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m/>
      </sharedItems>
    </cacheField>
    <cacheField name="centro de custo" numFmtId="0">
      <sharedItems containsBlank="1">
        <s v="despesas essenciais"/>
        <m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academia"/>
        <s v="gift"/>
        <s v="Pet"/>
        <s v="manutencao veicular"/>
        <s v="material escolar"/>
        <s v="Lazer"/>
        <s v="combustivel"/>
        <s v="Padaria"/>
        <s v="outros"/>
        <s v="Vestuario"/>
        <s v="manutenção domiciliar"/>
        <s v="mercado"/>
        <s v="utilizades domesticas"/>
        <s v="Feira"/>
        <s v="ferias"/>
        <m/>
      </sharedItems>
    </cacheField>
  </cacheFields>
</pivotCacheDefinition>
</file>

<file path=xl/pivotCache/pivotCacheDefinition7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3" sheet="Agost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Bateria"/>
        <s v="padaria"/>
        <s v="Gym pass"/>
        <s v="cacula"/>
        <s v="Drograria pacheco"/>
        <s v="Bazar"/>
        <s v="Centro automotivo"/>
        <s v="Posto matriz"/>
        <s v="Sonetro producoes"/>
        <s v="Afrikagourmet"/>
        <s v="Assai"/>
        <s v="Puro gas"/>
        <s v="Drogaria tamoio"/>
        <s v="Bazar agro verde"/>
        <s v="Papelaria leleco"/>
        <s v="Guanabara"/>
        <s v="Pes e patas"/>
        <s v="Ifood"/>
        <s v="Aluguel filme"/>
        <s v="Cobasi "/>
        <s v="petlove ração"/>
        <s v="macdonalds"/>
        <s v="Moringa restaurante"/>
        <s v="horti fruit"/>
        <s v="Carrefour post"/>
        <s v="G pet shop"/>
        <s v="lanchonete"/>
        <s v="Carrefour mercado"/>
        <s v="gnv"/>
        <s v="mercadopago"/>
        <s v="posto luz"/>
        <s v="otica rhema"/>
        <s v="sacolao"/>
        <s v="petz"/>
        <s v="carrefour gnv"/>
        <s v="deposito racao"/>
        <s v="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1.0"/>
        <n v="6.0"/>
        <n v="12.0"/>
        <n v="16.0"/>
        <n v="21.0"/>
        <n v="13.0"/>
        <n v="17.0"/>
        <n v="18.0"/>
        <n v="19.0"/>
        <n v="22.0"/>
        <n v="24.0"/>
        <n v="23.0"/>
        <n v="25.0"/>
      </sharedItems>
    </cacheField>
    <cacheField name="valor" numFmtId="166">
      <sharedItems containsString="0" containsBlank="1" containsNumber="1">
        <n v="660.0"/>
        <n v="1064.0364000000004"/>
        <n v="0.0"/>
        <n v="511.0"/>
        <n v="99.0"/>
        <n v="88.0"/>
        <n v="17.45"/>
        <n v="14.9"/>
        <n v="14.99"/>
        <n v="89.9"/>
        <n v="39.9"/>
        <n v="218.5"/>
        <n v="286.2"/>
        <n v="65.0"/>
        <n v="136.66"/>
        <n v="4.0"/>
        <n v="58.32"/>
        <n v="90.0"/>
        <n v="43.0"/>
        <n v="16.0"/>
        <n v="20.0"/>
        <n v="17.0"/>
        <n v="18.0"/>
        <n v="158.35"/>
        <n v="48.27"/>
        <n v="34.96"/>
        <n v="45.5"/>
        <n v="23.8"/>
        <n v="156.37"/>
        <n v="27.75"/>
        <n v="62.0"/>
        <n v="347.9"/>
        <n v="725.0"/>
        <n v="26.8"/>
        <n v="444.95"/>
        <n v="62.24"/>
        <n v="117.16"/>
        <n v="9.0"/>
        <n v="8.6"/>
        <n v="43.82"/>
        <n v="31.9"/>
        <n v="7.0"/>
        <n v="441.02"/>
        <n v="34.35"/>
        <n v="40.04"/>
        <n v="162.15"/>
        <n v="64.18"/>
        <n v="161.06"/>
        <n v="30.0"/>
        <n v="100.0"/>
        <n v="13.6"/>
        <n v="172.97"/>
        <n v="113.86"/>
        <n v="44.86"/>
        <n v="-725.0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7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3" sheet="Agost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Bateria"/>
        <s v="padaria"/>
        <s v="Gym pass"/>
        <s v="cacula"/>
        <s v="Drograria pacheco"/>
        <s v="Bazar"/>
        <s v="Centro automotivo"/>
        <s v="Posto matriz"/>
        <s v="Sonetro producoes"/>
        <s v="Afrikagourmet"/>
        <s v="Assai"/>
        <s v="Puro gas"/>
        <s v="Drogaria tamoio"/>
        <s v="Bazar agro verde"/>
        <s v="Papelaria leleco"/>
        <s v="Guanabara"/>
        <s v="Pes e patas"/>
        <s v="Ifood"/>
        <s v="Aluguel filme"/>
        <s v="Cobasi "/>
        <s v="petlove ração"/>
        <s v="macdonalds"/>
        <s v="Moringa restaurante"/>
        <s v="horti fruit"/>
        <s v="Carrefour post"/>
        <s v="G pet shop"/>
        <s v="lanchonete"/>
        <s v="Carrefour mercado"/>
        <s v="gnv"/>
        <s v="mercadopago"/>
        <s v="posto luz"/>
        <s v="otica rhema"/>
        <s v="sacolao"/>
        <s v="petz"/>
        <s v="carrefour gnv"/>
        <s v="deposito racao"/>
        <s v="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1.0"/>
        <n v="6.0"/>
        <n v="12.0"/>
        <n v="16.0"/>
        <n v="21.0"/>
        <n v="13.0"/>
        <n v="17.0"/>
        <n v="18.0"/>
        <n v="19.0"/>
        <n v="22.0"/>
        <n v="24.0"/>
        <n v="23.0"/>
        <n v="25.0"/>
      </sharedItems>
    </cacheField>
    <cacheField name="valor" numFmtId="166">
      <sharedItems containsString="0" containsBlank="1" containsNumber="1">
        <n v="660.0"/>
        <n v="1064.0364000000004"/>
        <n v="0.0"/>
        <n v="511.0"/>
        <n v="99.0"/>
        <n v="88.0"/>
        <n v="17.45"/>
        <n v="14.9"/>
        <n v="14.99"/>
        <n v="89.9"/>
        <n v="39.9"/>
        <n v="218.5"/>
        <n v="286.2"/>
        <n v="65.0"/>
        <n v="136.66"/>
        <n v="4.0"/>
        <n v="58.32"/>
        <n v="90.0"/>
        <n v="43.0"/>
        <n v="16.0"/>
        <n v="20.0"/>
        <n v="17.0"/>
        <n v="18.0"/>
        <n v="158.35"/>
        <n v="48.27"/>
        <n v="34.96"/>
        <n v="45.5"/>
        <n v="23.8"/>
        <n v="156.37"/>
        <n v="27.75"/>
        <n v="62.0"/>
        <n v="347.9"/>
        <n v="725.0"/>
        <n v="26.8"/>
        <n v="444.95"/>
        <n v="62.24"/>
        <n v="117.16"/>
        <n v="9.0"/>
        <n v="8.6"/>
        <n v="43.82"/>
        <n v="31.9"/>
        <n v="7.0"/>
        <n v="441.02"/>
        <n v="34.35"/>
        <n v="40.04"/>
        <n v="162.15"/>
        <n v="64.18"/>
        <n v="161.06"/>
        <n v="30.0"/>
        <n v="100.0"/>
        <n v="13.6"/>
        <n v="172.97"/>
        <n v="113.86"/>
        <n v="44.86"/>
        <n v="-725.0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7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3" sheet="Agost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Bateria"/>
        <s v="padaria"/>
        <s v="Gym pass"/>
        <s v="cacula"/>
        <s v="Drograria pacheco"/>
        <s v="Bazar"/>
        <s v="Centro automotivo"/>
        <s v="Posto matriz"/>
        <s v="Sonetro producoes"/>
        <s v="Afrikagourmet"/>
        <s v="Assai"/>
        <s v="Puro gas"/>
        <s v="Drogaria tamoio"/>
        <s v="Bazar agro verde"/>
        <s v="Papelaria leleco"/>
        <s v="Guanabara"/>
        <s v="Pes e patas"/>
        <s v="Ifood"/>
        <s v="Aluguel filme"/>
        <s v="Cobasi "/>
        <s v="petlove ração"/>
        <s v="macdonalds"/>
        <s v="Moringa restaurante"/>
        <s v="horti fruit"/>
        <s v="Carrefour post"/>
        <s v="G pet shop"/>
        <s v="lanchonete"/>
        <s v="Carrefour mercado"/>
        <s v="gnv"/>
        <s v="mercadopago"/>
        <s v="posto luz"/>
        <s v="otica rhema"/>
        <s v="sacolao"/>
        <s v="petz"/>
        <s v="carrefour gnv"/>
        <s v="deposito racao"/>
        <s v=" 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1.0"/>
        <n v="6.0"/>
        <n v="12.0"/>
        <n v="16.0"/>
        <n v="21.0"/>
        <n v="13.0"/>
        <n v="17.0"/>
        <n v="18.0"/>
        <n v="19.0"/>
        <n v="22.0"/>
        <n v="24.0"/>
        <n v="23.0"/>
        <n v="25.0"/>
      </sharedItems>
    </cacheField>
    <cacheField name="valor" numFmtId="166">
      <sharedItems containsString="0" containsBlank="1" containsNumber="1">
        <n v="660.0"/>
        <n v="1064.0364000000004"/>
        <n v="0.0"/>
        <n v="511.0"/>
        <n v="99.0"/>
        <n v="88.0"/>
        <n v="17.45"/>
        <n v="14.9"/>
        <n v="14.99"/>
        <n v="89.9"/>
        <n v="39.9"/>
        <n v="218.5"/>
        <n v="286.2"/>
        <n v="65.0"/>
        <n v="136.66"/>
        <n v="4.0"/>
        <n v="58.32"/>
        <n v="90.0"/>
        <n v="43.0"/>
        <n v="16.0"/>
        <n v="20.0"/>
        <n v="17.0"/>
        <n v="18.0"/>
        <n v="158.35"/>
        <n v="48.27"/>
        <n v="34.96"/>
        <n v="45.5"/>
        <n v="23.8"/>
        <n v="156.37"/>
        <n v="27.75"/>
        <n v="62.0"/>
        <n v="347.9"/>
        <n v="725.0"/>
        <n v="26.8"/>
        <n v="444.95"/>
        <n v="62.24"/>
        <n v="117.16"/>
        <n v="9.0"/>
        <n v="8.6"/>
        <n v="43.82"/>
        <n v="31.9"/>
        <n v="7.0"/>
        <n v="441.02"/>
        <n v="34.35"/>
        <n v="40.04"/>
        <n v="162.15"/>
        <n v="64.18"/>
        <n v="161.06"/>
        <n v="30.0"/>
        <n v="100.0"/>
        <n v="13.6"/>
        <n v="172.97"/>
        <n v="113.86"/>
        <n v="44.86"/>
        <n v="-725.0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cursos"/>
        <s v="academia"/>
        <s v="gift"/>
        <s v="Pet"/>
        <s v="manutencao veicular"/>
        <s v="material escolar"/>
        <s v="Lazer"/>
        <s v="combustivel"/>
        <s v="mercado"/>
        <s v="farmacia"/>
        <s v="Padaria"/>
        <s v="manutenção domiciliar"/>
        <s v="Feira"/>
        <s v="utilizades domesticas"/>
        <s v="outros"/>
        <s v="ferias"/>
        <m/>
      </sharedItems>
    </cacheField>
  </cacheFields>
</pivotCacheDefinition>
</file>

<file path=xl/pivotCache/pivotCacheDefinition7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5" sheet="julh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Bateria"/>
        <s v="Arquiteto de bolso"/>
        <s v="chavao"/>
        <s v="Puro gas"/>
        <s v="Carrefour"/>
        <s v="Bistro vegano"/>
        <s v="StartBucks"/>
        <s v="doces"/>
        <s v="casa e video"/>
        <s v="gnv"/>
        <s v="guanabara"/>
        <s v="sacolao"/>
        <s v="steam"/>
        <s v="mcdonalds"/>
        <s v="padaria"/>
        <s v="farmacia"/>
        <s v="Dermato AMy"/>
        <s v="pecas maquina"/>
        <s v="peca maquina"/>
        <s v="Remedio AMy"/>
        <s v="Assai"/>
        <s v="remedioa amy"/>
        <s v="bolo amy"/>
        <s v="peca moto"/>
        <s v="gasolina moto"/>
        <s v="fluido de radiador"/>
        <s v="Amigao"/>
        <s v="Bisturi"/>
        <s v="Agua"/>
        <s v="airbnb"/>
        <s v="carshow"/>
        <s v="lava jato"/>
        <s v="americanas"/>
        <s v="riachuelo"/>
        <s v="esfirra"/>
        <s v="gasolina"/>
        <s v="pedagio"/>
        <s v="clube da sfiha"/>
        <s v="mercado extra"/>
        <s v="acailand buzios"/>
        <s v="maraja restaurante"/>
        <s v="estacionamento"/>
        <s v="pes e patas"/>
        <s v="horti fruit"/>
        <s v="princesa mercado"/>
        <s v="forneria picardia de B"/>
        <s v="posto salinas"/>
        <s v="tamoio"/>
        <s v="pes e patas giargicid"/>
        <s v="petlove (giargia)"/>
        <s v="calçados"/>
        <s v="petlove"/>
        <s v="raquel calçados"/>
        <s v="cobasi"/>
        <s v="c c niteroi"/>
        <s v="AquaWorld"/>
        <s v="caminho da moda"/>
        <s v="petrolagos"/>
        <s v="posto ubajara"/>
        <s v="Muralha varejo e atacado"/>
        <s v="pap livra"/>
        <s v="cea"/>
        <s v="top arena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1.0"/>
        <n v="18.0"/>
        <n v="4.0"/>
        <n v="6.0"/>
        <n v="12.0"/>
        <n v="13.0"/>
        <n v="16.0"/>
        <n v="17.0"/>
        <n v="19.0"/>
        <n v="21.0"/>
        <n v="22.0"/>
        <n v="23.0"/>
        <n v="24.0"/>
        <n v="28.0"/>
      </sharedItems>
    </cacheField>
    <cacheField name="valor" numFmtId="166">
      <sharedItems containsString="0" containsBlank="1" containsNumber="1">
        <n v="660.0"/>
        <n v="798.0273000000002"/>
        <n v="0.0"/>
        <n v="511.0"/>
        <n v="99.0"/>
        <n v="88.0"/>
        <n v="17.45"/>
        <n v="14.9"/>
        <n v="14.99"/>
        <n v="89.9"/>
        <n v="39.9"/>
        <n v="206.99"/>
        <n v="79.9"/>
        <n v="50.0"/>
        <n v="150.0"/>
        <n v="498.0"/>
        <n v="15.0"/>
        <n v="35.99"/>
        <n v="24.99"/>
        <n v="38.58"/>
        <n v="25.68"/>
        <n v="4.98"/>
        <n v="12.0"/>
        <n v="60.0"/>
        <n v="12.9"/>
        <n v="4.0"/>
        <n v="226.03"/>
        <n v="33.24"/>
        <n v="230.0"/>
        <n v="120.0"/>
        <n v="38.92"/>
        <n v="126.0"/>
        <n v="29.9"/>
        <n v="345.86"/>
        <n v="182.6"/>
        <n v="58.0"/>
        <n v="33.99"/>
        <n v="28.0"/>
        <n v="44.0"/>
        <n v="46.94"/>
        <n v="14.15"/>
        <n v="32.9"/>
        <n v="16.0"/>
        <n v="824.0"/>
        <n v="42.0"/>
        <n v="33.96"/>
        <n v="519.4"/>
        <n v="166.24"/>
        <n v="59.5"/>
        <n v="17.3"/>
        <n v="63.25"/>
        <n v="56.9"/>
        <n v="15.95"/>
        <n v="328.9"/>
        <n v="10.0"/>
        <n v="26.37"/>
        <n v="65.44"/>
        <n v="20.4"/>
        <n v="101.75"/>
        <n v="59.19"/>
        <n v="208.47"/>
        <n v="160.0"/>
        <n v="33.78"/>
        <n v="87.35"/>
        <n v="310.16"/>
        <n v="645.0"/>
        <n v="731.0"/>
        <n v="29.99"/>
        <n v="210.28"/>
        <n v="75.92"/>
        <n v="50.44"/>
        <n v="32.4"/>
        <n v="129.99"/>
        <n v="229.83"/>
        <n v="110.0"/>
        <n v="7.99"/>
        <n v="20.0"/>
        <n v="35.0"/>
        <n v="53.8"/>
        <n v="27.99"/>
        <n v="49.99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7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5" sheet="julh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Bateria"/>
        <s v="Arquiteto de bolso"/>
        <s v="chavao"/>
        <s v="Puro gas"/>
        <s v="Carrefour"/>
        <s v="Bistro vegano"/>
        <s v="StartBucks"/>
        <s v="doces"/>
        <s v="casa e video"/>
        <s v="gnv"/>
        <s v="guanabara"/>
        <s v="sacolao"/>
        <s v="steam"/>
        <s v="mcdonalds"/>
        <s v="padaria"/>
        <s v="farmacia"/>
        <s v="Dermato AMy"/>
        <s v="pecas maquina"/>
        <s v="peca maquina"/>
        <s v="Remedio AMy"/>
        <s v="Assai"/>
        <s v="remedioa amy"/>
        <s v="bolo amy"/>
        <s v="peca moto"/>
        <s v="gasolina moto"/>
        <s v="fluido de radiador"/>
        <s v="Amigao"/>
        <s v="Bisturi"/>
        <s v="Agua"/>
        <s v="airbnb"/>
        <s v="carshow"/>
        <s v="lava jato"/>
        <s v="americanas"/>
        <s v="riachuelo"/>
        <s v="esfirra"/>
        <s v="gasolina"/>
        <s v="pedagio"/>
        <s v="clube da sfiha"/>
        <s v="mercado extra"/>
        <s v="acailand buzios"/>
        <s v="maraja restaurante"/>
        <s v="estacionamento"/>
        <s v="pes e patas"/>
        <s v="horti fruit"/>
        <s v="princesa mercado"/>
        <s v="forneria picardia de B"/>
        <s v="posto salinas"/>
        <s v="tamoio"/>
        <s v="pes e patas giargicid"/>
        <s v="petlove (giargia)"/>
        <s v="calçados"/>
        <s v="petlove"/>
        <s v="raquel calçados"/>
        <s v="cobasi"/>
        <s v="c c niteroi"/>
        <s v="AquaWorld"/>
        <s v="caminho da moda"/>
        <s v="petrolagos"/>
        <s v="posto ubajara"/>
        <s v="Muralha varejo e atacado"/>
        <s v="pap livra"/>
        <s v="cea"/>
        <s v="top arena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1.0"/>
        <n v="18.0"/>
        <n v="4.0"/>
        <n v="6.0"/>
        <n v="12.0"/>
        <n v="13.0"/>
        <n v="16.0"/>
        <n v="17.0"/>
        <n v="19.0"/>
        <n v="21.0"/>
        <n v="22.0"/>
        <n v="23.0"/>
        <n v="24.0"/>
        <n v="28.0"/>
      </sharedItems>
    </cacheField>
    <cacheField name="valor" numFmtId="166">
      <sharedItems containsString="0" containsBlank="1" containsNumber="1">
        <n v="660.0"/>
        <n v="798.0273000000002"/>
        <n v="0.0"/>
        <n v="511.0"/>
        <n v="99.0"/>
        <n v="88.0"/>
        <n v="17.45"/>
        <n v="14.9"/>
        <n v="14.99"/>
        <n v="89.9"/>
        <n v="39.9"/>
        <n v="206.99"/>
        <n v="79.9"/>
        <n v="50.0"/>
        <n v="150.0"/>
        <n v="498.0"/>
        <n v="15.0"/>
        <n v="35.99"/>
        <n v="24.99"/>
        <n v="38.58"/>
        <n v="25.68"/>
        <n v="4.98"/>
        <n v="12.0"/>
        <n v="60.0"/>
        <n v="12.9"/>
        <n v="4.0"/>
        <n v="226.03"/>
        <n v="33.24"/>
        <n v="230.0"/>
        <n v="120.0"/>
        <n v="38.92"/>
        <n v="126.0"/>
        <n v="29.9"/>
        <n v="345.86"/>
        <n v="182.6"/>
        <n v="58.0"/>
        <n v="33.99"/>
        <n v="28.0"/>
        <n v="44.0"/>
        <n v="46.94"/>
        <n v="14.15"/>
        <n v="32.9"/>
        <n v="16.0"/>
        <n v="824.0"/>
        <n v="42.0"/>
        <n v="33.96"/>
        <n v="519.4"/>
        <n v="166.24"/>
        <n v="59.5"/>
        <n v="17.3"/>
        <n v="63.25"/>
        <n v="56.9"/>
        <n v="15.95"/>
        <n v="328.9"/>
        <n v="10.0"/>
        <n v="26.37"/>
        <n v="65.44"/>
        <n v="20.4"/>
        <n v="101.75"/>
        <n v="59.19"/>
        <n v="208.47"/>
        <n v="160.0"/>
        <n v="33.78"/>
        <n v="87.35"/>
        <n v="310.16"/>
        <n v="645.0"/>
        <n v="731.0"/>
        <n v="29.99"/>
        <n v="210.28"/>
        <n v="75.92"/>
        <n v="50.44"/>
        <n v="32.4"/>
        <n v="129.99"/>
        <n v="229.83"/>
        <n v="110.0"/>
        <n v="7.99"/>
        <n v="20.0"/>
        <n v="35.0"/>
        <n v="53.8"/>
        <n v="27.99"/>
        <n v="49.99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7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5" sheet="julh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Bateria"/>
        <s v="Arquiteto de bolso"/>
        <s v="chavao"/>
        <s v="Puro gas"/>
        <s v="Carrefour"/>
        <s v="Bistro vegano"/>
        <s v="StartBucks"/>
        <s v="doces"/>
        <s v="casa e video"/>
        <s v="gnv"/>
        <s v="guanabara"/>
        <s v="sacolao"/>
        <s v="steam"/>
        <s v="mcdonalds"/>
        <s v="padaria"/>
        <s v="farmacia"/>
        <s v="Dermato AMy"/>
        <s v="pecas maquina"/>
        <s v="peca maquina"/>
        <s v="Remedio AMy"/>
        <s v="Assai"/>
        <s v="remedioa amy"/>
        <s v="bolo amy"/>
        <s v="peca moto"/>
        <s v="gasolina moto"/>
        <s v="fluido de radiador"/>
        <s v="Amigao"/>
        <s v="Bisturi"/>
        <s v="Agua"/>
        <s v="airbnb"/>
        <s v="carshow"/>
        <s v="lava jato"/>
        <s v="americanas"/>
        <s v="riachuelo"/>
        <s v="esfirra"/>
        <s v="gasolina"/>
        <s v="pedagio"/>
        <s v="clube da sfiha"/>
        <s v="mercado extra"/>
        <s v="acailand buzios"/>
        <s v="maraja restaurante"/>
        <s v="estacionamento"/>
        <s v="pes e patas"/>
        <s v="horti fruit"/>
        <s v="princesa mercado"/>
        <s v="forneria picardia de B"/>
        <s v="posto salinas"/>
        <s v="tamoio"/>
        <s v="pes e patas giargicid"/>
        <s v="petlove (giargia)"/>
        <s v="calçados"/>
        <s v="petlove"/>
        <s v="raquel calçados"/>
        <s v="cobasi"/>
        <s v="c c niteroi"/>
        <s v="AquaWorld"/>
        <s v="caminho da moda"/>
        <s v="petrolagos"/>
        <s v="posto ubajara"/>
        <s v="Muralha varejo e atacado"/>
        <s v="pap livra"/>
        <s v="cea"/>
        <s v="top arena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1.0"/>
        <n v="18.0"/>
        <n v="4.0"/>
        <n v="6.0"/>
        <n v="12.0"/>
        <n v="13.0"/>
        <n v="16.0"/>
        <n v="17.0"/>
        <n v="19.0"/>
        <n v="21.0"/>
        <n v="22.0"/>
        <n v="23.0"/>
        <n v="24.0"/>
        <n v="28.0"/>
      </sharedItems>
    </cacheField>
    <cacheField name="valor" numFmtId="166">
      <sharedItems containsString="0" containsBlank="1" containsNumber="1">
        <n v="660.0"/>
        <n v="798.0273000000002"/>
        <n v="0.0"/>
        <n v="511.0"/>
        <n v="99.0"/>
        <n v="88.0"/>
        <n v="17.45"/>
        <n v="14.9"/>
        <n v="14.99"/>
        <n v="89.9"/>
        <n v="39.9"/>
        <n v="206.99"/>
        <n v="79.9"/>
        <n v="50.0"/>
        <n v="150.0"/>
        <n v="498.0"/>
        <n v="15.0"/>
        <n v="35.99"/>
        <n v="24.99"/>
        <n v="38.58"/>
        <n v="25.68"/>
        <n v="4.98"/>
        <n v="12.0"/>
        <n v="60.0"/>
        <n v="12.9"/>
        <n v="4.0"/>
        <n v="226.03"/>
        <n v="33.24"/>
        <n v="230.0"/>
        <n v="120.0"/>
        <n v="38.92"/>
        <n v="126.0"/>
        <n v="29.9"/>
        <n v="345.86"/>
        <n v="182.6"/>
        <n v="58.0"/>
        <n v="33.99"/>
        <n v="28.0"/>
        <n v="44.0"/>
        <n v="46.94"/>
        <n v="14.15"/>
        <n v="32.9"/>
        <n v="16.0"/>
        <n v="824.0"/>
        <n v="42.0"/>
        <n v="33.96"/>
        <n v="519.4"/>
        <n v="166.24"/>
        <n v="59.5"/>
        <n v="17.3"/>
        <n v="63.25"/>
        <n v="56.9"/>
        <n v="15.95"/>
        <n v="328.9"/>
        <n v="10.0"/>
        <n v="26.37"/>
        <n v="65.44"/>
        <n v="20.4"/>
        <n v="101.75"/>
        <n v="59.19"/>
        <n v="208.47"/>
        <n v="160.0"/>
        <n v="33.78"/>
        <n v="87.35"/>
        <n v="310.16"/>
        <n v="645.0"/>
        <n v="731.0"/>
        <n v="29.99"/>
        <n v="210.28"/>
        <n v="75.92"/>
        <n v="50.44"/>
        <n v="32.4"/>
        <n v="129.99"/>
        <n v="229.83"/>
        <n v="110.0"/>
        <n v="7.99"/>
        <n v="20.0"/>
        <n v="35.0"/>
        <n v="53.8"/>
        <n v="27.99"/>
        <n v="49.99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cursos"/>
        <s v="academia"/>
        <s v="gift"/>
        <s v="Pet"/>
        <s v="manutencao veicular"/>
        <s v="material escolar"/>
        <s v="Lazer"/>
        <s v="combustivel"/>
        <s v="ferias"/>
        <s v="mercado"/>
        <s v="utilizades domesticas"/>
        <s v="Feira"/>
        <s v="Padaria"/>
        <s v="manutenção domiciliar"/>
        <s v="farmacia"/>
        <s v="Manutenção casa"/>
        <s v="manutencao veiculo"/>
        <s v="Vestuario"/>
        <m/>
      </sharedItems>
    </cacheField>
  </cacheFields>
</pivotCacheDefinition>
</file>

<file path=xl/pivotCache/pivotCacheDefinition7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3" sheet="junh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Bateria"/>
        <s v="DayseComercio"/>
        <s v="chavao"/>
        <s v="Puro gas"/>
        <s v="Carrefour"/>
        <s v="Empada"/>
        <s v="Estacionamento"/>
        <s v="Posto"/>
        <s v="Posto gas"/>
        <s v="Farmacia"/>
        <s v="mercado publix"/>
        <s v="pes e patas "/>
        <s v="hortifuit"/>
        <s v="Assai"/>
        <s v="Padaria"/>
        <s v="Carrefour "/>
        <s v="GNV"/>
        <s v="Leroy merlin "/>
        <s v="Casas pedro"/>
        <s v="Material escolar"/>
        <s v="Gasolina moto"/>
        <s v="Guanabara"/>
        <s v="aquario"/>
        <s v="guaravita"/>
        <s v="boticario"/>
        <s v="drog tamoio"/>
        <s v="pacheco"/>
        <s v="Minecraft"/>
        <s v="casapedro"/>
        <s v="tamoio"/>
        <s v="CiaDoce"/>
        <s v="Gasolina"/>
        <s v="petlove"/>
        <s v="carshow"/>
        <s v="casa do construtor"/>
        <s v="sacolao"/>
        <s v="Corte cabelo"/>
        <s v="racao tortuguita"/>
        <s v="Intercontinental"/>
        <s v="Roupas de cama"/>
        <s v="BK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1.0"/>
        <n v="4.0"/>
        <n v="13.0"/>
        <n v="12.0"/>
        <n v="9.0"/>
        <n v="6.0"/>
        <n v="17.0"/>
        <n v="18.0"/>
        <n v="19.0"/>
        <n v="21.0"/>
        <n v="22.0"/>
        <n v="23.0"/>
        <n v="24.0"/>
        <n v="25.0"/>
        <n v="28.0"/>
      </sharedItems>
    </cacheField>
    <cacheField name="valor" numFmtId="166">
      <sharedItems containsString="0" containsBlank="1" containsNumber="1">
        <n v="660.0"/>
        <n v="798.0273000000002"/>
        <n v="0.0"/>
        <n v="511.0"/>
        <n v="99.0"/>
        <n v="88.0"/>
        <n v="13.95"/>
        <n v="14.9"/>
        <n v="9.9"/>
        <n v="89.9"/>
        <n v="39.9"/>
        <n v="206.99"/>
        <n v="69.9"/>
        <n v="30.0"/>
        <n v="50.0"/>
        <n v="42.65"/>
        <n v="136.68"/>
        <n v="7.4"/>
        <n v="840.0"/>
        <n v="550.0"/>
        <n v="40.69"/>
        <n v="154.68"/>
        <n v="9.0"/>
        <n v="28.0"/>
        <n v="20.0"/>
        <n v="29.98"/>
        <n v="9.42"/>
        <n v="35.3"/>
        <n v="19.8"/>
        <n v="6.79"/>
        <n v="5.0"/>
        <n v="64.85"/>
        <n v="49.67"/>
        <n v="62.9"/>
        <n v="46.58"/>
        <n v="8.46"/>
        <n v="60.0"/>
        <n v="170.87"/>
        <n v="92.8"/>
        <n v="54.86"/>
        <n v="300.0"/>
        <n v="35.99"/>
        <n v="361.0"/>
        <n v="53.26"/>
        <n v="50.92"/>
        <n v="109.8"/>
        <n v="66.0"/>
        <n v="149.63"/>
        <n v="4.0"/>
        <n v="129.0"/>
        <n v="23.84"/>
        <n v="40.06"/>
        <n v="62.73"/>
        <n v="750.0"/>
        <n v="180.0"/>
        <n v="145.0"/>
        <n v="80.84"/>
        <n v="189.36"/>
        <n v="136.99"/>
        <n v="11.0"/>
        <n v="48.0"/>
        <n v="16.0"/>
        <n v="5.99"/>
        <n v="60.56"/>
        <n v="359.91"/>
        <n v="91.7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8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3" sheet="junh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Bateria"/>
        <s v="DayseComercio"/>
        <s v="chavao"/>
        <s v="Puro gas"/>
        <s v="Carrefour"/>
        <s v="Empada"/>
        <s v="Estacionamento"/>
        <s v="Posto"/>
        <s v="Posto gas"/>
        <s v="Farmacia"/>
        <s v="mercado publix"/>
        <s v="pes e patas "/>
        <s v="hortifuit"/>
        <s v="Assai"/>
        <s v="Padaria"/>
        <s v="Carrefour "/>
        <s v="GNV"/>
        <s v="Leroy merlin "/>
        <s v="Casas pedro"/>
        <s v="Material escolar"/>
        <s v="Gasolina moto"/>
        <s v="Guanabara"/>
        <s v="aquario"/>
        <s v="guaravita"/>
        <s v="boticario"/>
        <s v="drog tamoio"/>
        <s v="pacheco"/>
        <s v="Minecraft"/>
        <s v="casapedro"/>
        <s v="tamoio"/>
        <s v="CiaDoce"/>
        <s v="Gasolina"/>
        <s v="petlove"/>
        <s v="carshow"/>
        <s v="casa do construtor"/>
        <s v="sacolao"/>
        <s v="Corte cabelo"/>
        <s v="racao tortuguita"/>
        <s v="Intercontinental"/>
        <s v="Roupas de cama"/>
        <s v="BK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1.0"/>
        <n v="4.0"/>
        <n v="13.0"/>
        <n v="12.0"/>
        <n v="9.0"/>
        <n v="6.0"/>
        <n v="17.0"/>
        <n v="18.0"/>
        <n v="19.0"/>
        <n v="21.0"/>
        <n v="22.0"/>
        <n v="23.0"/>
        <n v="24.0"/>
        <n v="25.0"/>
        <n v="28.0"/>
      </sharedItems>
    </cacheField>
    <cacheField name="valor" numFmtId="166">
      <sharedItems containsString="0" containsBlank="1" containsNumber="1">
        <n v="660.0"/>
        <n v="798.0273000000002"/>
        <n v="0.0"/>
        <n v="511.0"/>
        <n v="99.0"/>
        <n v="88.0"/>
        <n v="13.95"/>
        <n v="14.9"/>
        <n v="9.9"/>
        <n v="89.9"/>
        <n v="39.9"/>
        <n v="206.99"/>
        <n v="69.9"/>
        <n v="30.0"/>
        <n v="50.0"/>
        <n v="42.65"/>
        <n v="136.68"/>
        <n v="7.4"/>
        <n v="840.0"/>
        <n v="550.0"/>
        <n v="40.69"/>
        <n v="154.68"/>
        <n v="9.0"/>
        <n v="28.0"/>
        <n v="20.0"/>
        <n v="29.98"/>
        <n v="9.42"/>
        <n v="35.3"/>
        <n v="19.8"/>
        <n v="6.79"/>
        <n v="5.0"/>
        <n v="64.85"/>
        <n v="49.67"/>
        <n v="62.9"/>
        <n v="46.58"/>
        <n v="8.46"/>
        <n v="60.0"/>
        <n v="170.87"/>
        <n v="92.8"/>
        <n v="54.86"/>
        <n v="300.0"/>
        <n v="35.99"/>
        <n v="361.0"/>
        <n v="53.26"/>
        <n v="50.92"/>
        <n v="109.8"/>
        <n v="66.0"/>
        <n v="149.63"/>
        <n v="4.0"/>
        <n v="129.0"/>
        <n v="23.84"/>
        <n v="40.06"/>
        <n v="62.73"/>
        <n v="750.0"/>
        <n v="180.0"/>
        <n v="145.0"/>
        <n v="80.84"/>
        <n v="189.36"/>
        <n v="136.99"/>
        <n v="11.0"/>
        <n v="48.0"/>
        <n v="16.0"/>
        <n v="5.99"/>
        <n v="60.56"/>
        <n v="359.91"/>
        <n v="91.7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8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3" sheet="junh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recarga arthur"/>
        <s v="recarga Aline"/>
        <s v="Futebol Alex"/>
        <s v="Combustivel"/>
        <s v="Bateria"/>
        <s v="DayseComercio"/>
        <s v="chavao"/>
        <s v="Puro gas"/>
        <s v="Carrefour"/>
        <s v="Empada"/>
        <s v="Estacionamento"/>
        <s v="Posto"/>
        <s v="Posto gas"/>
        <s v="Farmacia"/>
        <s v="mercado publix"/>
        <s v="pes e patas "/>
        <s v="hortifuit"/>
        <s v="Assai"/>
        <s v="Padaria"/>
        <s v="Carrefour "/>
        <s v="GNV"/>
        <s v="Leroy merlin "/>
        <s v="Casas pedro"/>
        <s v="Material escolar"/>
        <s v="Gasolina moto"/>
        <s v="Guanabara"/>
        <s v="aquario"/>
        <s v="guaravita"/>
        <s v="boticario"/>
        <s v="drog tamoio"/>
        <s v="pacheco"/>
        <s v="Minecraft"/>
        <s v="casapedro"/>
        <s v="tamoio"/>
        <s v="CiaDoce"/>
        <s v="Gasolina"/>
        <s v="petlove"/>
        <s v="carshow"/>
        <s v="casa do construtor"/>
        <s v="sacolao"/>
        <s v="Corte cabelo"/>
        <s v="racao tortuguita"/>
        <s v="Intercontinental"/>
        <s v="Roupas de cama"/>
        <s v="BK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1.0"/>
        <n v="4.0"/>
        <n v="13.0"/>
        <n v="12.0"/>
        <n v="9.0"/>
        <n v="6.0"/>
        <n v="17.0"/>
        <n v="18.0"/>
        <n v="19.0"/>
        <n v="21.0"/>
        <n v="22.0"/>
        <n v="23.0"/>
        <n v="24.0"/>
        <n v="25.0"/>
        <n v="28.0"/>
      </sharedItems>
    </cacheField>
    <cacheField name="valor" numFmtId="166">
      <sharedItems containsString="0" containsBlank="1" containsNumber="1">
        <n v="660.0"/>
        <n v="798.0273000000002"/>
        <n v="0.0"/>
        <n v="511.0"/>
        <n v="99.0"/>
        <n v="88.0"/>
        <n v="13.95"/>
        <n v="14.9"/>
        <n v="9.9"/>
        <n v="89.9"/>
        <n v="39.9"/>
        <n v="206.99"/>
        <n v="69.9"/>
        <n v="30.0"/>
        <n v="50.0"/>
        <n v="42.65"/>
        <n v="136.68"/>
        <n v="7.4"/>
        <n v="840.0"/>
        <n v="550.0"/>
        <n v="40.69"/>
        <n v="154.68"/>
        <n v="9.0"/>
        <n v="28.0"/>
        <n v="20.0"/>
        <n v="29.98"/>
        <n v="9.42"/>
        <n v="35.3"/>
        <n v="19.8"/>
        <n v="6.79"/>
        <n v="5.0"/>
        <n v="64.85"/>
        <n v="49.67"/>
        <n v="62.9"/>
        <n v="46.58"/>
        <n v="8.46"/>
        <n v="60.0"/>
        <n v="170.87"/>
        <n v="92.8"/>
        <n v="54.86"/>
        <n v="300.0"/>
        <n v="35.99"/>
        <n v="361.0"/>
        <n v="53.26"/>
        <n v="50.92"/>
        <n v="109.8"/>
        <n v="66.0"/>
        <n v="149.63"/>
        <n v="4.0"/>
        <n v="129.0"/>
        <n v="23.84"/>
        <n v="40.06"/>
        <n v="62.73"/>
        <n v="750.0"/>
        <n v="180.0"/>
        <n v="145.0"/>
        <n v="80.84"/>
        <n v="189.36"/>
        <n v="136.99"/>
        <n v="11.0"/>
        <n v="48.0"/>
        <n v="16.0"/>
        <n v="5.99"/>
        <n v="60.56"/>
        <n v="359.91"/>
        <n v="91.7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170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cursos"/>
        <s v="academia"/>
        <s v="gift"/>
        <s v="Pet"/>
        <s v="manutencao veicular"/>
        <s v="lazer"/>
        <s v="combustivel"/>
        <s v="feira"/>
        <s v="mercado"/>
        <s v="estacionamento"/>
        <s v="Farmacia"/>
        <s v="padaria"/>
        <s v="manutenção domiciliar"/>
        <s v="material escolar"/>
        <s v="Manutenção  veiculo"/>
        <s v="Manutenção casa"/>
        <s v="beleza"/>
        <s v="utilidades domesticas"/>
        <m/>
      </sharedItems>
    </cacheField>
  </cacheFields>
</pivotCacheDefinition>
</file>

<file path=xl/pivotCache/pivotCacheDefinition8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1" sheet="mai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padaria"/>
        <s v="Puro gas"/>
        <s v="Burger king"/>
        <s v="Amazon"/>
        <s v="Drograria pacheco"/>
        <s v="Publix"/>
        <s v="Uber"/>
        <s v="Gisele Nunes Barbosa"/>
        <s v="Lojas americasna"/>
        <s v="Cea"/>
        <s v="Carrefour PST 304"/>
        <s v="Pag Dayse10comercio"/>
        <s v="Fornecedora corintians"/>
        <s v="Padaria delicia"/>
        <s v="Petlove"/>
        <s v="AutopostoLuz"/>
        <s v="Cacula"/>
        <s v="Carrefour mercado"/>
        <s v="Carrefour posto"/>
        <s v="Atacadao"/>
        <s v="lgmdistribuidora"/>
        <s v="Top Arena"/>
        <s v="Magna Cozinha e forn"/>
        <s v="MCDOnalds Carrefour Manilha"/>
        <s v="Assai"/>
        <s v="Otica Bela visao"/>
        <s v="Drogaria tamoio"/>
        <s v="drogaria Pacheco"/>
        <s v="NetShoes"/>
        <s v="Natura"/>
        <s v="Duda Fashion"/>
        <s v="Guanabara"/>
        <s v="EfrainMotos"/>
        <s v="ShoppingBoulevard"/>
        <s v="Subway"/>
        <s v="Belmazal Restaurante"/>
        <s v="Chavao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4.0"/>
        <n v="6.0"/>
        <n v="16.0"/>
        <n v="17.0"/>
        <n v="18.0"/>
        <n v="21.0"/>
        <n v="19.0"/>
        <n v="13.0"/>
        <n v="12.0"/>
      </sharedItems>
    </cacheField>
    <cacheField name="valor" numFmtId="166">
      <sharedItems containsString="0" containsBlank="1" containsNumber="1">
        <n v="660.0"/>
        <n v="798.0273000000002"/>
        <n v="0.0"/>
        <n v="550.0"/>
        <n v="99.0"/>
        <n v="88.0"/>
        <n v="13.95"/>
        <n v="14.9"/>
        <n v="9.9"/>
        <n v="89.9"/>
        <n v="39.9"/>
        <n v="206.99"/>
        <n v="37.9"/>
        <n v="109.0"/>
        <n v="459.0"/>
        <n v="205.0"/>
        <n v="800.0"/>
        <n v="4.0"/>
        <n v="41.79"/>
        <n v="28.9"/>
        <n v="41.88"/>
        <n v="91.83"/>
        <n v="4.96"/>
        <n v="26.05"/>
        <n v="12.96"/>
        <n v="17.32"/>
        <n v="62.24"/>
        <n v="19.94"/>
        <n v="53.07"/>
        <n v="18.2"/>
        <n v="32.0"/>
        <n v="774.63"/>
        <n v="30.0"/>
        <n v="32.94"/>
        <n v="134.8"/>
        <n v="46.98"/>
        <n v="74.94"/>
        <n v="6.6"/>
        <n v="127.7"/>
        <n v="27.8"/>
        <n v="373.01"/>
        <n v="100.0"/>
        <n v="15.47"/>
        <n v="61.32"/>
        <n v="203.9"/>
        <n v="82.7"/>
        <n v="132.05"/>
        <n v="140.0"/>
        <n v="268.21"/>
        <n v="56.0"/>
        <n v="361.14"/>
        <n v="32.3"/>
        <n v="21.5"/>
        <n v="41.1"/>
        <n v="782.0"/>
        <n v="180.0"/>
        <n v="320.0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3472,50"/>
        <n v="274.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8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71" sheet="mai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padaria"/>
        <s v="Puro gas"/>
        <s v="Burger king"/>
        <s v="Amazon"/>
        <s v="Drograria pacheco"/>
        <s v="Publix"/>
        <s v="Uber"/>
        <s v="Gisele Nunes Barbosa"/>
        <s v="Lojas americasna"/>
        <s v="Cea"/>
        <s v="Carrefour PST 304"/>
        <s v="Pag Dayse10comercio"/>
        <s v="Fornecedora corintians"/>
        <s v="Padaria delicia"/>
        <s v="Petlove"/>
        <s v="AutopostoLuz"/>
        <s v="Cacula"/>
        <s v="Carrefour mercado"/>
        <s v="Carrefour posto"/>
        <s v="Atacadao"/>
        <s v="lgmdistribuidora"/>
        <s v="Top Arena"/>
        <s v="Magna Cozinha e forn"/>
        <s v="MCDOnalds Carrefour Manilha"/>
        <s v="Assai"/>
        <s v="Otica Bela visao"/>
        <s v="Drogaria tamoio"/>
        <s v="drogaria Pacheco"/>
        <s v="NetShoes"/>
        <s v="Natura"/>
        <s v="Duda Fashion"/>
        <s v="Guanabara"/>
        <s v="EfrainMotos"/>
        <s v="ShoppingBoulevard"/>
        <s v="Subway"/>
        <s v="Belmazal Restaurante"/>
        <s v="Chavao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4.0"/>
        <n v="6.0"/>
        <n v="16.0"/>
        <n v="17.0"/>
        <n v="18.0"/>
        <n v="21.0"/>
        <n v="19.0"/>
        <n v="13.0"/>
        <n v="12.0"/>
      </sharedItems>
    </cacheField>
    <cacheField name="valor" numFmtId="166">
      <sharedItems containsString="0" containsBlank="1" containsNumber="1">
        <n v="660.0"/>
        <n v="798.0273000000002"/>
        <n v="0.0"/>
        <n v="550.0"/>
        <n v="99.0"/>
        <n v="88.0"/>
        <n v="13.95"/>
        <n v="14.9"/>
        <n v="9.9"/>
        <n v="89.9"/>
        <n v="39.9"/>
        <n v="206.99"/>
        <n v="37.9"/>
        <n v="109.0"/>
        <n v="459.0"/>
        <n v="205.0"/>
        <n v="800.0"/>
        <n v="4.0"/>
        <n v="41.79"/>
        <n v="28.9"/>
        <n v="41.88"/>
        <n v="91.83"/>
        <n v="4.96"/>
        <n v="26.05"/>
        <n v="12.96"/>
        <n v="17.32"/>
        <n v="62.24"/>
        <n v="19.94"/>
        <n v="53.07"/>
        <n v="18.2"/>
        <n v="32.0"/>
        <n v="774.63"/>
        <n v="30.0"/>
        <n v="32.94"/>
        <n v="134.8"/>
        <n v="46.98"/>
        <n v="74.94"/>
        <n v="6.6"/>
        <n v="127.7"/>
        <n v="27.8"/>
        <n v="373.01"/>
        <n v="100.0"/>
        <n v="15.47"/>
        <n v="61.32"/>
        <n v="203.9"/>
        <n v="82.7"/>
        <n v="132.05"/>
        <n v="140.0"/>
        <n v="268.21"/>
        <n v="56.0"/>
        <n v="361.14"/>
        <n v="32.3"/>
        <n v="21.5"/>
        <n v="41.1"/>
        <n v="782.0"/>
        <n v="180.0"/>
        <n v="320.0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3472,50"/>
        <n v="274.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8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71" sheet="mai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Apple Tv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StarLink"/>
        <s v="pnwu fazer"/>
        <s v="Remedido Pingo"/>
        <s v="Manutencao Veiculo"/>
        <s v="padaria"/>
        <s v="Puro gas"/>
        <s v="Burger king"/>
        <s v="Amazon"/>
        <s v="Drograria pacheco"/>
        <s v="Publix"/>
        <s v="Uber"/>
        <s v="Gisele Nunes Barbosa"/>
        <s v="Lojas americasna"/>
        <s v="Cea"/>
        <s v="Carrefour PST 304"/>
        <s v="Pag Dayse10comercio"/>
        <s v="Fornecedora corintians"/>
        <s v="Padaria delicia"/>
        <s v="Petlove"/>
        <s v="AutopostoLuz"/>
        <s v="Cacula"/>
        <s v="Carrefour mercado"/>
        <s v="Carrefour posto"/>
        <s v="Atacadao"/>
        <s v="lgmdistribuidora"/>
        <s v="Top Arena"/>
        <s v="Magna Cozinha e forn"/>
        <s v="MCDOnalds Carrefour Manilha"/>
        <s v="Assai"/>
        <s v="Otica Bela visao"/>
        <s v="Drogaria tamoio"/>
        <s v="drogaria Pacheco"/>
        <s v="NetShoes"/>
        <s v="Natura"/>
        <s v="Duda Fashion"/>
        <s v="Guanabara"/>
        <s v="EfrainMotos"/>
        <s v="ShoppingBoulevard"/>
        <s v="Subway"/>
        <s v="Belmazal Restaurante"/>
        <s v="Chavao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m/>
        <n v="29.0"/>
        <n v="2.0"/>
        <n v="15.0"/>
        <n v="8.0"/>
        <n v="27.0"/>
        <n v="10.0"/>
        <n v="3.0"/>
        <n v="4.0"/>
        <n v="6.0"/>
        <n v="16.0"/>
        <n v="17.0"/>
        <n v="18.0"/>
        <n v="21.0"/>
        <n v="19.0"/>
        <n v="13.0"/>
        <n v="12.0"/>
      </sharedItems>
    </cacheField>
    <cacheField name="valor" numFmtId="166">
      <sharedItems containsString="0" containsBlank="1" containsNumber="1">
        <n v="660.0"/>
        <n v="798.0273000000002"/>
        <n v="0.0"/>
        <n v="550.0"/>
        <n v="99.0"/>
        <n v="88.0"/>
        <n v="13.95"/>
        <n v="14.9"/>
        <n v="9.9"/>
        <n v="89.9"/>
        <n v="39.9"/>
        <n v="206.99"/>
        <n v="37.9"/>
        <n v="109.0"/>
        <n v="459.0"/>
        <n v="205.0"/>
        <n v="800.0"/>
        <n v="4.0"/>
        <n v="41.79"/>
        <n v="28.9"/>
        <n v="41.88"/>
        <n v="91.83"/>
        <n v="4.96"/>
        <n v="26.05"/>
        <n v="12.96"/>
        <n v="17.32"/>
        <n v="62.24"/>
        <n v="19.94"/>
        <n v="53.07"/>
        <n v="18.2"/>
        <n v="32.0"/>
        <n v="774.63"/>
        <n v="30.0"/>
        <n v="32.94"/>
        <n v="134.8"/>
        <n v="46.98"/>
        <n v="74.94"/>
        <n v="6.6"/>
        <n v="127.7"/>
        <n v="27.8"/>
        <n v="373.01"/>
        <n v="100.0"/>
        <n v="15.47"/>
        <n v="61.32"/>
        <n v="203.9"/>
        <n v="82.7"/>
        <n v="132.05"/>
        <n v="140.0"/>
        <n v="268.21"/>
        <n v="56.0"/>
        <n v="361.14"/>
        <n v="32.3"/>
        <n v="21.5"/>
        <n v="41.1"/>
        <n v="782.0"/>
        <n v="180.0"/>
        <n v="320.0"/>
        <m/>
      </sharedItems>
    </cacheField>
    <cacheField name="situacao">
      <sharedItems containsBlank="1" containsMixedTypes="1" containsNumber="1" containsInteger="1">
        <s v="pg"/>
        <s v="open"/>
        <n v="0.0"/>
        <n v="250.0"/>
        <s v="- previsao - 3472,50"/>
        <n v="274.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cursos"/>
        <s v="academia"/>
        <s v="gift"/>
        <s v="Pet"/>
        <s v="manutencao veicular"/>
        <s v="mercado"/>
        <s v="Combustivel"/>
        <s v="lazer"/>
        <s v="utilidades domesticas"/>
        <s v="Farmacia"/>
        <s v="transporte"/>
        <s v="vestuario"/>
        <s v="manutencao casa"/>
        <s v="material escolar"/>
        <s v="familia"/>
        <m/>
      </sharedItems>
    </cacheField>
  </cacheFields>
</pivotCacheDefinition>
</file>

<file path=xl/pivotCache/pivotCacheDefinition8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7" sheet="abril23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tacadao"/>
        <s v="Aliexpress"/>
        <s v="Racao AMY"/>
        <s v="Anhanguera Aline PEP"/>
        <s v="StarLink"/>
        <s v="pnwu fazer"/>
        <s v="O Boticario"/>
        <s v="Atacadao Posto 13"/>
        <s v="Posto Matrix"/>
        <s v="Drogaria Pacheco"/>
        <s v="Posto Ubajara"/>
        <s v="Remedido Pingo"/>
        <s v="BK"/>
        <s v="Atacadao 202 as"/>
        <s v="S3"/>
        <s v="Golden Fruit"/>
        <s v="AutoPostoLuz"/>
        <s v="Padaria"/>
        <s v="Kalunga sao goncalo"/>
        <s v="O amigao "/>
        <s v="Lojas americanas"/>
        <s v="Car show"/>
        <s v="Cartao Aline + Saida de campo"/>
        <s v="Atacadao 202 as "/>
        <s v="Carrefour Posto"/>
        <s v="Carrefour Mercado"/>
        <s v="Carrefour manilha"/>
        <s v="appletv"/>
        <s v="Boulevard 425 comerci"/>
        <s v="Pag e par"/>
        <s v="PuroGas"/>
        <s v="Carrefour Cal"/>
        <s v="Cinemark"/>
        <s v="Cacula"/>
        <s v="Assai"/>
      </sharedItems>
    </cacheField>
    <cacheField name="dia" numFmtId="0">
      <sharedItems containsString="0" containsBlank="1" containsNumber="1" containsInteger="1">
        <n v="5.0"/>
        <n v="7.0"/>
        <n v="26.0"/>
        <n v="10.0"/>
        <n v="14.0"/>
        <n v="11.0"/>
        <n v="20.0"/>
        <n v="30.0"/>
        <n v="29.0"/>
        <n v="2.0"/>
        <n v="15.0"/>
        <n v="8.0"/>
        <n v="27.0"/>
        <n v="13.0"/>
        <m/>
        <n v="3.0"/>
        <n v="6.0"/>
        <n v="9.0"/>
        <n v="12.0"/>
        <n v="16.0"/>
        <n v="17.0"/>
        <n v="18.0"/>
        <n v="19.0"/>
        <n v="21.0"/>
        <n v="22.0"/>
      </sharedItems>
    </cacheField>
    <cacheField name="valor" numFmtId="166">
      <sharedItems containsSemiMixedTypes="0" containsString="0" containsNumber="1">
        <n v="660.0"/>
        <n v="228.0"/>
        <n v="0.0"/>
        <n v="557.53"/>
        <n v="611.67"/>
        <n v="119.83"/>
        <n v="88.0"/>
        <n v="13.95"/>
        <n v="14.9"/>
        <n v="9.9"/>
        <n v="89.9"/>
        <n v="39.9"/>
        <n v="206.99"/>
        <n v="37.9"/>
        <n v="109.0"/>
        <n v="1447.89"/>
        <n v="324.7"/>
        <n v="7.99"/>
        <n v="20.0"/>
        <n v="101.66"/>
        <n v="50.0"/>
        <n v="205.0"/>
        <n v="16.9"/>
        <n v="69.92"/>
        <n v="9.98"/>
        <n v="59.24"/>
        <n v="8.0"/>
        <n v="9.5"/>
        <n v="61.94"/>
        <n v="138.74"/>
        <n v="100.0"/>
        <n v="155.33"/>
        <n v="40.0"/>
        <n v="22.16"/>
        <n v="40.93"/>
        <n v="57.8"/>
        <n v="62.27"/>
        <n v="16.0"/>
        <n v="76.01"/>
        <n v="550.0"/>
        <n v="63.5"/>
        <n v="23.97"/>
        <n v="325.0"/>
        <n v="4.0"/>
      </sharedItems>
    </cacheField>
    <cacheField name="situacao">
      <sharedItems containsBlank="1" containsMixedTypes="1" containsNumber="1">
        <s v="pg"/>
        <s v="open"/>
        <n v="1183.0"/>
        <n v="250.0"/>
        <n v="7738.59"/>
        <s v="- previsao - 3472,50"/>
        <n v="274.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8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7" sheet="abril23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tacadao"/>
        <s v="Aliexpress"/>
        <s v="Racao AMY"/>
        <s v="Anhanguera Aline PEP"/>
        <s v="StarLink"/>
        <s v="pnwu fazer"/>
        <s v="O Boticario"/>
        <s v="Atacadao Posto 13"/>
        <s v="Posto Matrix"/>
        <s v="Drogaria Pacheco"/>
        <s v="Posto Ubajara"/>
        <s v="Remedido Pingo"/>
        <s v="BK"/>
        <s v="Atacadao 202 as"/>
        <s v="S3"/>
        <s v="Golden Fruit"/>
        <s v="AutoPostoLuz"/>
        <s v="Padaria"/>
        <s v="Kalunga sao goncalo"/>
        <s v="O amigao "/>
        <s v="Lojas americanas"/>
        <s v="Car show"/>
        <s v="Cartao Aline + Saida de campo"/>
        <s v="Atacadao 202 as "/>
        <s v="Carrefour Posto"/>
        <s v="Carrefour Mercado"/>
        <s v="Carrefour manilha"/>
        <s v="appletv"/>
        <s v="Boulevard 425 comerci"/>
        <s v="Pag e par"/>
        <s v="PuroGas"/>
        <s v="Carrefour Cal"/>
        <s v="Cinemark"/>
        <s v="Cacula"/>
        <s v="Assai"/>
      </sharedItems>
    </cacheField>
    <cacheField name="dia" numFmtId="0">
      <sharedItems containsString="0" containsBlank="1" containsNumber="1" containsInteger="1">
        <n v="5.0"/>
        <n v="7.0"/>
        <n v="26.0"/>
        <n v="10.0"/>
        <n v="14.0"/>
        <n v="11.0"/>
        <n v="20.0"/>
        <n v="30.0"/>
        <n v="29.0"/>
        <n v="2.0"/>
        <n v="15.0"/>
        <n v="8.0"/>
        <n v="27.0"/>
        <n v="13.0"/>
        <m/>
        <n v="3.0"/>
        <n v="6.0"/>
        <n v="9.0"/>
        <n v="12.0"/>
        <n v="16.0"/>
        <n v="17.0"/>
        <n v="18.0"/>
        <n v="19.0"/>
        <n v="21.0"/>
        <n v="22.0"/>
      </sharedItems>
    </cacheField>
    <cacheField name="valor" numFmtId="166">
      <sharedItems containsSemiMixedTypes="0" containsString="0" containsNumber="1">
        <n v="660.0"/>
        <n v="228.0"/>
        <n v="0.0"/>
        <n v="557.53"/>
        <n v="611.67"/>
        <n v="119.83"/>
        <n v="88.0"/>
        <n v="13.95"/>
        <n v="14.9"/>
        <n v="9.9"/>
        <n v="89.9"/>
        <n v="39.9"/>
        <n v="206.99"/>
        <n v="37.9"/>
        <n v="109.0"/>
        <n v="1447.89"/>
        <n v="324.7"/>
        <n v="7.99"/>
        <n v="20.0"/>
        <n v="101.66"/>
        <n v="50.0"/>
        <n v="205.0"/>
        <n v="16.9"/>
        <n v="69.92"/>
        <n v="9.98"/>
        <n v="59.24"/>
        <n v="8.0"/>
        <n v="9.5"/>
        <n v="61.94"/>
        <n v="138.74"/>
        <n v="100.0"/>
        <n v="155.33"/>
        <n v="40.0"/>
        <n v="22.16"/>
        <n v="40.93"/>
        <n v="57.8"/>
        <n v="62.27"/>
        <n v="16.0"/>
        <n v="76.01"/>
        <n v="550.0"/>
        <n v="63.5"/>
        <n v="23.97"/>
        <n v="325.0"/>
        <n v="4.0"/>
      </sharedItems>
    </cacheField>
    <cacheField name="situacao">
      <sharedItems containsBlank="1" containsMixedTypes="1" containsNumber="1">
        <s v="pg"/>
        <s v="open"/>
        <n v="1183.0"/>
        <n v="250.0"/>
        <n v="7738.59"/>
        <s v="- previsao - 3472,50"/>
        <n v="274.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8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7" sheet="abril23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tacadao"/>
        <s v="Aliexpress"/>
        <s v="Racao AMY"/>
        <s v="Anhanguera Aline PEP"/>
        <s v="StarLink"/>
        <s v="pnwu fazer"/>
        <s v="O Boticario"/>
        <s v="Atacadao Posto 13"/>
        <s v="Posto Matrix"/>
        <s v="Drogaria Pacheco"/>
        <s v="Posto Ubajara"/>
        <s v="Remedido Pingo"/>
        <s v="BK"/>
        <s v="Atacadao 202 as"/>
        <s v="S3"/>
        <s v="Golden Fruit"/>
        <s v="AutoPostoLuz"/>
        <s v="Padaria"/>
        <s v="Kalunga sao goncalo"/>
        <s v="O amigao "/>
        <s v="Lojas americanas"/>
        <s v="Car show"/>
        <s v="Cartao Aline + Saida de campo"/>
        <s v="Atacadao 202 as "/>
        <s v="Carrefour Posto"/>
        <s v="Carrefour Mercado"/>
        <s v="Carrefour manilha"/>
        <s v="appletv"/>
        <s v="Boulevard 425 comerci"/>
        <s v="Pag e par"/>
        <s v="PuroGas"/>
        <s v="Carrefour Cal"/>
        <s v="Cinemark"/>
        <s v="Cacula"/>
        <s v="Assai"/>
      </sharedItems>
    </cacheField>
    <cacheField name="dia" numFmtId="0">
      <sharedItems containsString="0" containsBlank="1" containsNumber="1" containsInteger="1">
        <n v="5.0"/>
        <n v="7.0"/>
        <n v="26.0"/>
        <n v="10.0"/>
        <n v="14.0"/>
        <n v="11.0"/>
        <n v="20.0"/>
        <n v="30.0"/>
        <n v="29.0"/>
        <n v="2.0"/>
        <n v="15.0"/>
        <n v="8.0"/>
        <n v="27.0"/>
        <n v="13.0"/>
        <m/>
        <n v="3.0"/>
        <n v="6.0"/>
        <n v="9.0"/>
        <n v="12.0"/>
        <n v="16.0"/>
        <n v="17.0"/>
        <n v="18.0"/>
        <n v="19.0"/>
        <n v="21.0"/>
        <n v="22.0"/>
      </sharedItems>
    </cacheField>
    <cacheField name="valor" numFmtId="166">
      <sharedItems containsSemiMixedTypes="0" containsString="0" containsNumber="1">
        <n v="660.0"/>
        <n v="228.0"/>
        <n v="0.0"/>
        <n v="557.53"/>
        <n v="611.67"/>
        <n v="119.83"/>
        <n v="88.0"/>
        <n v="13.95"/>
        <n v="14.9"/>
        <n v="9.9"/>
        <n v="89.9"/>
        <n v="39.9"/>
        <n v="206.99"/>
        <n v="37.9"/>
        <n v="109.0"/>
        <n v="1447.89"/>
        <n v="324.7"/>
        <n v="7.99"/>
        <n v="20.0"/>
        <n v="101.66"/>
        <n v="50.0"/>
        <n v="205.0"/>
        <n v="16.9"/>
        <n v="69.92"/>
        <n v="9.98"/>
        <n v="59.24"/>
        <n v="8.0"/>
        <n v="9.5"/>
        <n v="61.94"/>
        <n v="138.74"/>
        <n v="100.0"/>
        <n v="155.33"/>
        <n v="40.0"/>
        <n v="22.16"/>
        <n v="40.93"/>
        <n v="57.8"/>
        <n v="62.27"/>
        <n v="16.0"/>
        <n v="76.01"/>
        <n v="550.0"/>
        <n v="63.5"/>
        <n v="23.97"/>
        <n v="325.0"/>
        <n v="4.0"/>
      </sharedItems>
    </cacheField>
    <cacheField name="situacao">
      <sharedItems containsBlank="1" containsMixedTypes="1" containsNumber="1">
        <s v="pg"/>
        <s v="open"/>
        <n v="1183.0"/>
        <n v="250.0"/>
        <n v="7738.59"/>
        <s v="- previsao - 3472,50"/>
        <n v="274.0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Alex"/>
        <s v="familia"/>
        <m/>
        <s v="Pingo"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academia"/>
        <s v="mercado"/>
        <s v="gift"/>
        <s v="Pet"/>
        <s v="manutencao veicular"/>
        <s v="utilizades domesticas"/>
        <s v="Combustivel"/>
        <s v="Farmacia"/>
        <s v="Lazer"/>
        <s v="Feira"/>
        <s v="Padaria"/>
        <s v="material escolar"/>
        <s v="outros"/>
        <s v="estacionamento"/>
      </sharedItems>
    </cacheField>
  </cacheFields>
</pivotCacheDefinition>
</file>

<file path=xl/pivotCache/pivotCacheDefinition8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2" sheet="marco23"/>
  </cacheSource>
  <cacheFields>
    <cacheField name="Descricao" numFmtId="0">
      <sharedItems>
        <s v="escolar Arthur"/>
        <s v="Faculdade Aline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livros Arthur"/>
        <s v="IPVA carro"/>
        <s v="Pneu traseio moto"/>
        <s v="IPTU"/>
        <s v="suspensao carro"/>
        <s v="cinto passageiro"/>
        <s v="manutenção moto"/>
        <s v="Objectiva Roupas"/>
        <s v="assai"/>
        <s v="Gladiador"/>
        <s v="casa linda"/>
        <s v="Carrefour Cal 212"/>
        <s v="BK"/>
        <s v="Puro gas Mutua posto"/>
        <s v="GoldenFruit"/>
        <s v="Eskimo"/>
        <s v="Cantina Alfredo Backer Camisa"/>
        <s v="Posto Matriz"/>
        <s v="Drogaria imperial"/>
        <s v="Grupo genius Brasil"/>
        <s v="Irmaosmanha alcantara"/>
        <s v="Kr Eletronica"/>
        <s v="Atacado Posto13"/>
        <s v="OutBack"/>
        <s v="Samanta correa"/>
        <s v="Posto Ubajara"/>
        <s v="Pes e patas"/>
        <s v="Drogaria Jucas"/>
        <s v="Posto Mendes"/>
        <s v="Uber Trip"/>
        <s v="Amazon Market Place"/>
        <s v="Sorvetes Moure"/>
        <s v="Publix Mercados"/>
        <s v="Malu 2 Prod natura"/>
        <s v="Gisele Nunes Barbosa"/>
        <s v="Casas Pedro"/>
        <s v="Drogaraia Tamoio"/>
        <s v="Assai Atacadista"/>
        <s v="Drogaria Tamoio"/>
        <s v="Tampa porta mala carro"/>
        <s v="Auto Posto"/>
      </sharedItems>
    </cacheField>
    <cacheField name="dia" numFmtId="0">
      <sharedItems containsString="0" containsBlank="1" containsNumber="1" containsInteger="1">
        <n v="5.0"/>
        <n v="7.0"/>
        <n v="14.0"/>
        <n v="11.0"/>
        <n v="20.0"/>
        <n v="30.0"/>
        <n v="29.0"/>
        <n v="2.0"/>
        <n v="15.0"/>
        <n v="8.0"/>
        <n v="27.0"/>
        <n v="1.0"/>
        <n v="10.0"/>
        <m/>
        <n v="17.0"/>
        <n v="18.0"/>
        <n v="21.0"/>
        <n v="23.0"/>
        <n v="25.0"/>
        <n v="26.0"/>
        <n v="31.0"/>
      </sharedItems>
    </cacheField>
    <cacheField name="valor" numFmtId="166">
      <sharedItems containsSemiMixedTypes="0" containsString="0" containsNumber="1">
        <n v="605.0"/>
        <n v="988.0"/>
        <n v="0.0"/>
        <n v="104.0"/>
        <n v="99.0"/>
        <n v="13.95"/>
        <n v="14.9"/>
        <n v="9.9"/>
        <n v="89.9"/>
        <n v="39.9"/>
        <n v="206.99"/>
        <n v="37.9"/>
        <n v="109.0"/>
        <n v="492.99"/>
        <n v="657.0"/>
        <n v="193.0"/>
        <n v="64.9"/>
        <n v="119.96"/>
        <n v="33.25"/>
        <n v="48.1"/>
        <n v="32.2"/>
        <n v="120.73"/>
        <n v="154.96"/>
        <n v="90.7"/>
        <n v="55.61"/>
        <n v="22.46"/>
        <n v="15.5"/>
        <n v="80.0"/>
        <n v="25.58"/>
        <n v="25.0"/>
        <n v="13.92"/>
        <n v="49.4"/>
        <n v="9.5"/>
        <n v="52.83"/>
        <n v="22.9"/>
        <n v="301.62"/>
        <n v="150.0"/>
        <n v="20.0"/>
        <n v="193.35"/>
        <n v="41.99"/>
        <n v="147.99"/>
        <n v="9.95"/>
        <n v="25.92"/>
        <n v="723.5999999999999"/>
        <n v="36.0"/>
        <n v="21.27"/>
        <n v="14.06"/>
        <n v="4.29"/>
        <n v="11.15"/>
        <n v="112.74"/>
        <n v="5.0"/>
        <n v="20.7"/>
        <n v="9.91"/>
        <n v="128.2"/>
        <n v="43.37"/>
        <n v="41.37"/>
        <n v="285.65"/>
        <n v="99.51"/>
        <n v="39.96"/>
        <n v="11.86"/>
        <n v="500.0"/>
      </sharedItems>
    </cacheField>
    <cacheField name="situacao" numFmtId="0">
      <sharedItems containsBlank="1">
        <s v="pg"/>
        <s v="open"/>
        <m/>
        <s v="previsao - 877"/>
        <s v="previsao - 274"/>
        <s v="previsao - 64,90 * 12"/>
        <s v="previsao - 1500"/>
        <s v="previsao - 1300"/>
        <s v="previsao - 170 + 300"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m/>
        <s v="nubank conta"/>
      </sharedItems>
    </cacheField>
  </cacheFields>
</pivotCacheDefinition>
</file>

<file path=xl/pivotCache/pivotCacheDefinition8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72" sheet="marco23"/>
  </cacheSource>
  <cacheFields>
    <cacheField name="Descricao" numFmtId="0">
      <sharedItems>
        <s v="escolar Arthur"/>
        <s v="Faculdade Aline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livros Arthur"/>
        <s v="IPVA carro"/>
        <s v="Pneu traseio moto"/>
        <s v="IPTU"/>
        <s v="suspensao carro"/>
        <s v="cinto passageiro"/>
        <s v="manutenção moto"/>
        <s v="Objectiva Roupas"/>
        <s v="assai"/>
        <s v="Gladiador"/>
        <s v="casa linda"/>
        <s v="Carrefour Cal 212"/>
        <s v="BK"/>
        <s v="Puro gas Mutua posto"/>
        <s v="GoldenFruit"/>
        <s v="Eskimo"/>
        <s v="Cantina Alfredo Backer Camisa"/>
        <s v="Posto Matriz"/>
        <s v="Drogaria imperial"/>
        <s v="Grupo genius Brasil"/>
        <s v="Irmaosmanha alcantara"/>
        <s v="Kr Eletronica"/>
        <s v="Atacado Posto13"/>
        <s v="OutBack"/>
        <s v="Samanta correa"/>
        <s v="Posto Ubajara"/>
        <s v="Pes e patas"/>
        <s v="Drogaria Jucas"/>
        <s v="Posto Mendes"/>
        <s v="Uber Trip"/>
        <s v="Amazon Market Place"/>
        <s v="Sorvetes Moure"/>
        <s v="Publix Mercados"/>
        <s v="Malu 2 Prod natura"/>
        <s v="Gisele Nunes Barbosa"/>
        <s v="Casas Pedro"/>
        <s v="Drogaraia Tamoio"/>
        <s v="Assai Atacadista"/>
        <s v="Drogaria Tamoio"/>
        <s v="Tampa porta mala carro"/>
        <s v="Auto Posto"/>
      </sharedItems>
    </cacheField>
    <cacheField name="dia" numFmtId="0">
      <sharedItems containsString="0" containsBlank="1" containsNumber="1" containsInteger="1">
        <n v="5.0"/>
        <n v="7.0"/>
        <n v="14.0"/>
        <n v="11.0"/>
        <n v="20.0"/>
        <n v="30.0"/>
        <n v="29.0"/>
        <n v="2.0"/>
        <n v="15.0"/>
        <n v="8.0"/>
        <n v="27.0"/>
        <n v="1.0"/>
        <n v="10.0"/>
        <m/>
        <n v="17.0"/>
        <n v="18.0"/>
        <n v="21.0"/>
        <n v="23.0"/>
        <n v="25.0"/>
        <n v="26.0"/>
        <n v="31.0"/>
      </sharedItems>
    </cacheField>
    <cacheField name="valor" numFmtId="166">
      <sharedItems containsSemiMixedTypes="0" containsString="0" containsNumber="1">
        <n v="605.0"/>
        <n v="988.0"/>
        <n v="0.0"/>
        <n v="104.0"/>
        <n v="99.0"/>
        <n v="13.95"/>
        <n v="14.9"/>
        <n v="9.9"/>
        <n v="89.9"/>
        <n v="39.9"/>
        <n v="206.99"/>
        <n v="37.9"/>
        <n v="109.0"/>
        <n v="492.99"/>
        <n v="657.0"/>
        <n v="193.0"/>
        <n v="64.9"/>
        <n v="119.96"/>
        <n v="33.25"/>
        <n v="48.1"/>
        <n v="32.2"/>
        <n v="120.73"/>
        <n v="154.96"/>
        <n v="90.7"/>
        <n v="55.61"/>
        <n v="22.46"/>
        <n v="15.5"/>
        <n v="80.0"/>
        <n v="25.58"/>
        <n v="25.0"/>
        <n v="13.92"/>
        <n v="49.4"/>
        <n v="9.5"/>
        <n v="52.83"/>
        <n v="22.9"/>
        <n v="301.62"/>
        <n v="150.0"/>
        <n v="20.0"/>
        <n v="193.35"/>
        <n v="41.99"/>
        <n v="147.99"/>
        <n v="9.95"/>
        <n v="25.92"/>
        <n v="723.5999999999999"/>
        <n v="36.0"/>
        <n v="21.27"/>
        <n v="14.06"/>
        <n v="4.29"/>
        <n v="11.15"/>
        <n v="112.74"/>
        <n v="5.0"/>
        <n v="20.7"/>
        <n v="9.91"/>
        <n v="128.2"/>
        <n v="43.37"/>
        <n v="41.37"/>
        <n v="285.65"/>
        <n v="99.51"/>
        <n v="39.96"/>
        <n v="11.86"/>
        <n v="500.0"/>
      </sharedItems>
    </cacheField>
    <cacheField name="situacao" numFmtId="0">
      <sharedItems containsBlank="1">
        <s v="pg"/>
        <s v="open"/>
        <m/>
        <s v="previsao - 877"/>
        <s v="previsao - 274"/>
        <s v="previsao - 64,90 * 12"/>
        <s v="previsao - 1500"/>
        <s v="previsao - 1300"/>
        <s v="previsao - 170 + 300"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m/>
        <s v="nubank conta"/>
      </sharedItems>
    </cacheField>
    <cacheField name="subclassificacao" numFmtId="0">
      <sharedItems containsBlank="1">
        <s v="despesas pessoais"/>
        <s v="habitacao"/>
        <m/>
        <s v="transporte"/>
        <s v="educacao"/>
        <s v="lazer"/>
        <s v="outros"/>
        <s v="saude"/>
      </sharedItems>
    </cacheField>
    <cacheField name="centro de custo" numFmtId="0">
      <sharedItems containsBlank="1">
        <s v="despesas essenciais"/>
        <m/>
        <s v="educacao"/>
        <s v="gastos livres"/>
        <s v="gastos livres "/>
      </sharedItems>
    </cacheField>
  </cacheFields>
</pivotCacheDefinition>
</file>

<file path=xl/pivotCache/pivotCacheDefinition9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72" sheet="marco23"/>
  </cacheSource>
  <cacheFields>
    <cacheField name="Descricao" numFmtId="0">
      <sharedItems>
        <s v="escolar Arthur"/>
        <s v="Faculdade Aline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Aliexpress"/>
        <s v="Racao AMY"/>
        <s v="livros Arthur"/>
        <s v="IPVA carro"/>
        <s v="Pneu traseio moto"/>
        <s v="IPTU"/>
        <s v="suspensao carro"/>
        <s v="cinto passageiro"/>
        <s v="manutenção moto"/>
        <s v="Objectiva Roupas"/>
        <s v="assai"/>
        <s v="Gladiador"/>
        <s v="casa linda"/>
        <s v="Carrefour Cal 212"/>
        <s v="BK"/>
        <s v="Puro gas Mutua posto"/>
        <s v="GoldenFruit"/>
        <s v="Eskimo"/>
        <s v="Cantina Alfredo Backer Camisa"/>
        <s v="Posto Matriz"/>
        <s v="Drogaria imperial"/>
        <s v="Grupo genius Brasil"/>
        <s v="Irmaosmanha alcantara"/>
        <s v="Kr Eletronica"/>
        <s v="Atacado Posto13"/>
        <s v="OutBack"/>
        <s v="Samanta correa"/>
        <s v="Posto Ubajara"/>
        <s v="Pes e patas"/>
        <s v="Drogaria Jucas"/>
        <s v="Posto Mendes"/>
        <s v="Uber Trip"/>
        <s v="Amazon Market Place"/>
        <s v="Sorvetes Moure"/>
        <s v="Publix Mercados"/>
        <s v="Malu 2 Prod natura"/>
        <s v="Gisele Nunes Barbosa"/>
        <s v="Casas Pedro"/>
        <s v="Drogaraia Tamoio"/>
        <s v="Assai Atacadista"/>
        <s v="Drogaria Tamoio"/>
        <s v="Tampa porta mala carro"/>
        <s v="Auto Posto"/>
      </sharedItems>
    </cacheField>
    <cacheField name="dia" numFmtId="0">
      <sharedItems containsString="0" containsBlank="1" containsNumber="1" containsInteger="1">
        <n v="5.0"/>
        <n v="7.0"/>
        <n v="14.0"/>
        <n v="11.0"/>
        <n v="20.0"/>
        <n v="30.0"/>
        <n v="29.0"/>
        <n v="2.0"/>
        <n v="15.0"/>
        <n v="8.0"/>
        <n v="27.0"/>
        <n v="1.0"/>
        <n v="10.0"/>
        <m/>
        <n v="17.0"/>
        <n v="18.0"/>
        <n v="21.0"/>
        <n v="23.0"/>
        <n v="25.0"/>
        <n v="26.0"/>
        <n v="31.0"/>
      </sharedItems>
    </cacheField>
    <cacheField name="valor" numFmtId="166">
      <sharedItems containsSemiMixedTypes="0" containsString="0" containsNumber="1">
        <n v="605.0"/>
        <n v="988.0"/>
        <n v="0.0"/>
        <n v="104.0"/>
        <n v="99.0"/>
        <n v="13.95"/>
        <n v="14.9"/>
        <n v="9.9"/>
        <n v="89.9"/>
        <n v="39.9"/>
        <n v="206.99"/>
        <n v="37.9"/>
        <n v="109.0"/>
        <n v="492.99"/>
        <n v="657.0"/>
        <n v="193.0"/>
        <n v="64.9"/>
        <n v="119.96"/>
        <n v="33.25"/>
        <n v="48.1"/>
        <n v="32.2"/>
        <n v="120.73"/>
        <n v="154.96"/>
        <n v="90.7"/>
        <n v="55.61"/>
        <n v="22.46"/>
        <n v="15.5"/>
        <n v="80.0"/>
        <n v="25.58"/>
        <n v="25.0"/>
        <n v="13.92"/>
        <n v="49.4"/>
        <n v="9.5"/>
        <n v="52.83"/>
        <n v="22.9"/>
        <n v="301.62"/>
        <n v="150.0"/>
        <n v="20.0"/>
        <n v="193.35"/>
        <n v="41.99"/>
        <n v="147.99"/>
        <n v="9.95"/>
        <n v="25.92"/>
        <n v="723.5999999999999"/>
        <n v="36.0"/>
        <n v="21.27"/>
        <n v="14.06"/>
        <n v="4.29"/>
        <n v="11.15"/>
        <n v="112.74"/>
        <n v="5.0"/>
        <n v="20.7"/>
        <n v="9.91"/>
        <n v="128.2"/>
        <n v="43.37"/>
        <n v="41.37"/>
        <n v="285.65"/>
        <n v="99.51"/>
        <n v="39.96"/>
        <n v="11.86"/>
        <n v="500.0"/>
      </sharedItems>
    </cacheField>
    <cacheField name="situacao" numFmtId="0">
      <sharedItems containsBlank="1">
        <s v="pg"/>
        <s v="open"/>
        <m/>
        <s v="previsao - 877"/>
        <s v="previsao - 274"/>
        <s v="previsao - 64,90 * 12"/>
        <s v="previsao - 1500"/>
        <s v="previsao - 1300"/>
        <s v="previsao - 170 + 300"/>
      </sharedItems>
    </cacheField>
    <cacheField name="forma de pagamento" numFmtId="0">
      <sharedItems containsBlank="1">
        <s v="boleto"/>
        <s v="debito automatico"/>
        <s v="nubank card"/>
        <s v="Bradesco cartoes"/>
        <m/>
        <s v="pix"/>
      </sharedItems>
    </cacheField>
    <cacheField name="beneficiado" numFmtId="0">
      <sharedItems containsBlank="1">
        <s v="Arthur"/>
        <s v="Aline"/>
        <s v="familia"/>
        <s v="Alex"/>
        <m/>
      </sharedItems>
    </cacheField>
    <cacheField name="outcome" numFmtId="0">
      <sharedItems containsBlank="1">
        <s v="bradesco conta"/>
        <s v="santander conta"/>
        <m/>
        <s v="nubank conta"/>
      </sharedItems>
    </cacheField>
    <cacheField name="subclassificacao" numFmtId="0">
      <sharedItems containsBlank="1">
        <s v="despesas pessoais"/>
        <s v="habitacao"/>
        <m/>
        <s v="transporte"/>
        <s v="educacao"/>
        <s v="lazer"/>
        <s v="outros"/>
        <s v="saude"/>
      </sharedItems>
    </cacheField>
    <cacheField name="centro de custo" numFmtId="0">
      <sharedItems containsBlank="1">
        <s v="despesas essenciais"/>
        <m/>
        <s v="educacao"/>
        <s v="gastos livres"/>
        <s v="gastos livres "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cursos"/>
        <s v="academia"/>
        <s v="gift"/>
        <s v="Pet"/>
        <s v="material escolar"/>
        <s v="manutencao veiculo"/>
        <m/>
        <s v="Iptu"/>
        <s v="vestuario"/>
        <s v="mercado"/>
        <s v="utilizades domesticas"/>
        <s v="lazer"/>
        <s v="combustivel"/>
        <s v="Feira"/>
        <s v="Farmacia"/>
        <s v="uber"/>
      </sharedItems>
    </cacheField>
  </cacheFields>
</pivotCacheDefinition>
</file>

<file path=xl/pivotCache/pivotCacheDefinition9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8" sheet="feverei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mbustivel"/>
        <s v="livros Arthur"/>
        <s v="calca arthur "/>
        <s v="Muralha varejo"/>
        <s v="Lanche BK"/>
        <s v="cea calca arthur"/>
        <s v="halipao pad e merc"/>
        <s v="Camiseta Arthur"/>
        <s v="Kalunga carderno"/>
        <s v="outback"/>
        <s v="Gasolina moto"/>
        <s v="corte cabelo arthur"/>
        <s v="Aliexpress"/>
        <s v="casa e video panela"/>
        <s v="gnv carro "/>
        <s v="kifesta - embalagem "/>
        <s v="Drogaria tamoio remedio AMY"/>
        <s v="Remedio AMy"/>
        <s v="assai"/>
        <s v="gnv"/>
        <s v="Comida tortuguita"/>
        <s v="mercado carrefour"/>
        <s v="c c niteroi"/>
        <s v="eskimo"/>
        <s v="capa + pelicula+ chip"/>
        <s v="doacao"/>
        <s v="utilidades domesticas"/>
        <s v="exame amy"/>
        <s v="farmacia"/>
        <s v="casas pedro"/>
        <s v="hortifruit"/>
        <s v="mercado guanabara"/>
        <s v="grd moto"/>
        <s v="grt moto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n v="29.0"/>
        <n v="2.0"/>
        <n v="15.0"/>
        <n v="8.0"/>
        <n v="27.0"/>
        <n v="1.0"/>
        <n v="10.0"/>
        <n v="6.0"/>
        <m/>
        <n v="12.0"/>
        <n v="9.0"/>
        <n v="16.0"/>
        <n v="21.0"/>
        <n v="18.0"/>
        <n v="22.0"/>
      </sharedItems>
    </cacheField>
    <cacheField name="valor" numFmtId="166">
      <sharedItems containsString="0" containsBlank="1" containsNumber="1">
        <n v="605.99"/>
        <n v="1309.0"/>
        <n v="883.0"/>
        <n v="510.0"/>
        <n v="104.0"/>
        <n v="99.0"/>
        <n v="13.95"/>
        <n v="14.9"/>
        <n v="9.9"/>
        <n v="89.9"/>
        <n v="39.9"/>
        <n v="0.0"/>
        <n v="206.99"/>
        <n v="37.9"/>
        <n v="109.0"/>
        <n v="657.0"/>
        <n v="35.0"/>
        <n v="58.8"/>
        <n v="89.99"/>
        <n v="30.9"/>
        <n v="60.0"/>
        <n v="22.2"/>
        <n v="365.46"/>
        <n v="20.0"/>
        <n v="38.0"/>
        <n v="492.99"/>
        <n v="59.99"/>
        <n v="53.62"/>
        <n v="23.95"/>
        <n v="30.39"/>
        <n v="267.9"/>
        <n v="148.96"/>
        <n v="77.25"/>
        <n v="124.68"/>
        <n v="139.68"/>
        <n v="37.99"/>
        <n v="124.0"/>
        <n v="30.5"/>
        <n v="50.0"/>
        <n v="200.0"/>
        <n v="176.0"/>
        <n v="24.0"/>
        <n v="91.16"/>
        <n v="109.06"/>
        <n v="48.98"/>
        <n v="16.99"/>
        <n v="45.9"/>
        <n v="33.0"/>
        <n v="50.93"/>
        <n v="161.0"/>
        <n v="183.0"/>
        <m/>
      </sharedItems>
    </cacheField>
    <cacheField name="situacao" numFmtId="0">
      <sharedItems containsBlank="1">
        <s v="payed"/>
        <s v="open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s v="PIX"/>
        <m/>
      </sharedItems>
    </cacheField>
    <cacheField name="beneficiado" numFmtId="0">
      <sharedItems containsBlank="1">
        <s v="Arthur"/>
        <s v="Aline"/>
        <s v="Alex"/>
        <s v="familia"/>
        <s v="Amy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</cacheFields>
</pivotCacheDefinition>
</file>

<file path=xl/pivotCache/pivotCacheDefinition9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8" sheet="feverei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mbustivel"/>
        <s v="livros Arthur"/>
        <s v="calca arthur "/>
        <s v="Muralha varejo"/>
        <s v="Lanche BK"/>
        <s v="cea calca arthur"/>
        <s v="halipao pad e merc"/>
        <s v="Camiseta Arthur"/>
        <s v="Kalunga carderno"/>
        <s v="outback"/>
        <s v="Gasolina moto"/>
        <s v="corte cabelo arthur"/>
        <s v="Aliexpress"/>
        <s v="casa e video panela"/>
        <s v="gnv carro "/>
        <s v="kifesta - embalagem "/>
        <s v="Drogaria tamoio remedio AMY"/>
        <s v="Remedio AMy"/>
        <s v="assai"/>
        <s v="gnv"/>
        <s v="Comida tortuguita"/>
        <s v="mercado carrefour"/>
        <s v="c c niteroi"/>
        <s v="eskimo"/>
        <s v="capa + pelicula+ chip"/>
        <s v="doacao"/>
        <s v="utilidades domesticas"/>
        <s v="exame amy"/>
        <s v="farmacia"/>
        <s v="casas pedro"/>
        <s v="hortifruit"/>
        <s v="mercado guanabara"/>
        <s v="grd moto"/>
        <s v="grt moto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n v="29.0"/>
        <n v="2.0"/>
        <n v="15.0"/>
        <n v="8.0"/>
        <n v="27.0"/>
        <n v="1.0"/>
        <n v="10.0"/>
        <n v="6.0"/>
        <m/>
        <n v="12.0"/>
        <n v="9.0"/>
        <n v="16.0"/>
        <n v="21.0"/>
        <n v="18.0"/>
        <n v="22.0"/>
      </sharedItems>
    </cacheField>
    <cacheField name="valor" numFmtId="166">
      <sharedItems containsString="0" containsBlank="1" containsNumber="1">
        <n v="605.99"/>
        <n v="1309.0"/>
        <n v="883.0"/>
        <n v="510.0"/>
        <n v="104.0"/>
        <n v="99.0"/>
        <n v="13.95"/>
        <n v="14.9"/>
        <n v="9.9"/>
        <n v="89.9"/>
        <n v="39.9"/>
        <n v="0.0"/>
        <n v="206.99"/>
        <n v="37.9"/>
        <n v="109.0"/>
        <n v="657.0"/>
        <n v="35.0"/>
        <n v="58.8"/>
        <n v="89.99"/>
        <n v="30.9"/>
        <n v="60.0"/>
        <n v="22.2"/>
        <n v="365.46"/>
        <n v="20.0"/>
        <n v="38.0"/>
        <n v="492.99"/>
        <n v="59.99"/>
        <n v="53.62"/>
        <n v="23.95"/>
        <n v="30.39"/>
        <n v="267.9"/>
        <n v="148.96"/>
        <n v="77.25"/>
        <n v="124.68"/>
        <n v="139.68"/>
        <n v="37.99"/>
        <n v="124.0"/>
        <n v="30.5"/>
        <n v="50.0"/>
        <n v="200.0"/>
        <n v="176.0"/>
        <n v="24.0"/>
        <n v="91.16"/>
        <n v="109.06"/>
        <n v="48.98"/>
        <n v="16.99"/>
        <n v="45.9"/>
        <n v="33.0"/>
        <n v="50.93"/>
        <n v="161.0"/>
        <n v="183.0"/>
        <m/>
      </sharedItems>
    </cacheField>
    <cacheField name="situacao" numFmtId="0">
      <sharedItems containsBlank="1">
        <s v="payed"/>
        <s v="open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s v="PIX"/>
        <m/>
      </sharedItems>
    </cacheField>
    <cacheField name="beneficiado" numFmtId="0">
      <sharedItems containsBlank="1">
        <s v="Arthur"/>
        <s v="Aline"/>
        <s v="Alex"/>
        <s v="familia"/>
        <s v="Amy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s v="outros"/>
        <s v="lazer"/>
        <s v="saude"/>
        <m/>
      </sharedItems>
    </cacheField>
    <cacheField name="centro de custo" numFmtId="0">
      <sharedItems containsBlank="1">
        <s v="despesas essenciais"/>
        <s v="educacao"/>
        <s v="despesas pessoais"/>
        <s v="gastos livres"/>
        <m/>
      </sharedItems>
    </cacheField>
  </cacheFields>
</pivotCacheDefinition>
</file>

<file path=xl/pivotCache/pivotCacheDefinition9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8" sheet="fevereiro23"/>
  </cacheSource>
  <cacheFields>
    <cacheField name="Descricao" numFmtId="0">
      <sharedItems containsBlank="1"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gympass"/>
        <s v="Combustivel"/>
        <s v="livros Arthur"/>
        <s v="calca arthur "/>
        <s v="Muralha varejo"/>
        <s v="Lanche BK"/>
        <s v="cea calca arthur"/>
        <s v="halipao pad e merc"/>
        <s v="Camiseta Arthur"/>
        <s v="Kalunga carderno"/>
        <s v="outback"/>
        <s v="Gasolina moto"/>
        <s v="corte cabelo arthur"/>
        <s v="Aliexpress"/>
        <s v="casa e video panela"/>
        <s v="gnv carro "/>
        <s v="kifesta - embalagem "/>
        <s v="Drogaria tamoio remedio AMY"/>
        <s v="Remedio AMy"/>
        <s v="assai"/>
        <s v="gnv"/>
        <s v="Comida tortuguita"/>
        <s v="mercado carrefour"/>
        <s v="c c niteroi"/>
        <s v="eskimo"/>
        <s v="capa + pelicula+ chip"/>
        <s v="doacao"/>
        <s v="utilidades domesticas"/>
        <s v="exame amy"/>
        <s v="farmacia"/>
        <s v="casas pedro"/>
        <s v="hortifruit"/>
        <s v="mercado guanabara"/>
        <s v="grd moto"/>
        <s v="grt moto"/>
        <m/>
      </sharedItems>
    </cacheField>
    <cacheField name="dia" numFmtId="0">
      <sharedItems containsString="0" containsBlank="1" containsNumber="1" containsInteger="1">
        <n v="5.0"/>
        <n v="7.0"/>
        <n v="26.0"/>
        <n v="14.0"/>
        <n v="11.0"/>
        <n v="20.0"/>
        <n v="30.0"/>
        <n v="29.0"/>
        <n v="2.0"/>
        <n v="15.0"/>
        <n v="8.0"/>
        <n v="27.0"/>
        <n v="1.0"/>
        <n v="10.0"/>
        <n v="6.0"/>
        <m/>
        <n v="12.0"/>
        <n v="9.0"/>
        <n v="16.0"/>
        <n v="21.0"/>
        <n v="18.0"/>
        <n v="22.0"/>
      </sharedItems>
    </cacheField>
    <cacheField name="valor" numFmtId="166">
      <sharedItems containsString="0" containsBlank="1" containsNumber="1">
        <n v="605.99"/>
        <n v="1309.0"/>
        <n v="883.0"/>
        <n v="510.0"/>
        <n v="104.0"/>
        <n v="99.0"/>
        <n v="13.95"/>
        <n v="14.9"/>
        <n v="9.9"/>
        <n v="89.9"/>
        <n v="39.9"/>
        <n v="0.0"/>
        <n v="206.99"/>
        <n v="37.9"/>
        <n v="109.0"/>
        <n v="657.0"/>
        <n v="35.0"/>
        <n v="58.8"/>
        <n v="89.99"/>
        <n v="30.9"/>
        <n v="60.0"/>
        <n v="22.2"/>
        <n v="365.46"/>
        <n v="20.0"/>
        <n v="38.0"/>
        <n v="492.99"/>
        <n v="59.99"/>
        <n v="53.62"/>
        <n v="23.95"/>
        <n v="30.39"/>
        <n v="267.9"/>
        <n v="148.96"/>
        <n v="77.25"/>
        <n v="124.68"/>
        <n v="139.68"/>
        <n v="37.99"/>
        <n v="124.0"/>
        <n v="30.5"/>
        <n v="50.0"/>
        <n v="200.0"/>
        <n v="176.0"/>
        <n v="24.0"/>
        <n v="91.16"/>
        <n v="109.06"/>
        <n v="48.98"/>
        <n v="16.99"/>
        <n v="45.9"/>
        <n v="33.0"/>
        <n v="50.93"/>
        <n v="161.0"/>
        <n v="183.0"/>
        <m/>
      </sharedItems>
    </cacheField>
    <cacheField name="situacao" numFmtId="0">
      <sharedItems containsBlank="1">
        <s v="payed"/>
        <s v="open"/>
        <m/>
      </sharedItems>
    </cacheField>
    <cacheField name="forma de pagamento" numFmtId="0">
      <sharedItems containsBlank="1">
        <s v="boleto"/>
        <s v="debito automatico"/>
        <s v="nubank card"/>
        <s v="Bradesco cartoes"/>
        <s v="PIX"/>
        <m/>
      </sharedItems>
    </cacheField>
    <cacheField name="beneficiado" numFmtId="0">
      <sharedItems containsBlank="1">
        <s v="Arthur"/>
        <s v="Aline"/>
        <s v="Alex"/>
        <s v="familia"/>
        <s v="Amy"/>
        <m/>
      </sharedItems>
    </cacheField>
    <cacheField name="outcome" numFmtId="0">
      <sharedItems containsBlank="1">
        <s v="bradesco conta"/>
        <s v="santander conta"/>
        <s v="nubank conta"/>
        <m/>
      </sharedItems>
    </cacheField>
    <cacheField name="subclassificacao" numFmtId="0">
      <sharedItems containsBlank="1">
        <s v="despesas pessoais"/>
        <s v="habitacao"/>
        <s v="transporte"/>
        <s v="educacao"/>
        <s v="outros"/>
        <s v="lazer"/>
        <s v="saude"/>
        <m/>
      </sharedItems>
    </cacheField>
    <cacheField name="centro de custo" numFmtId="0">
      <sharedItems containsBlank="1">
        <s v="despesas essenciais"/>
        <s v="educacao"/>
        <s v="despesas pessoais"/>
        <s v="gastos livres"/>
        <m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cursos"/>
        <s v="academia"/>
        <s v="combustivel"/>
        <s v="material escolar"/>
        <s v="utilizades domesticas"/>
        <s v="lazer"/>
        <s v="vestuario"/>
        <s v="Cabeleireiro"/>
        <s v="gift"/>
        <s v="Pet"/>
        <s v="mercado"/>
        <s v="outros"/>
        <m/>
        <s v="feira"/>
      </sharedItems>
    </cacheField>
  </cacheFields>
</pivotCacheDefinition>
</file>

<file path=xl/pivotCache/pivotCacheDefinition9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5" sheet="Janeiro23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estacionamento"/>
        <s v="gympass"/>
        <s v="Combustivel"/>
        <s v="Aliexpress"/>
        <s v="Racao AMY"/>
        <s v="pet"/>
        <s v="livros Arthur"/>
        <s v="Farmacia"/>
        <s v="MERCADO"/>
        <s v="Feira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29.0"/>
        <n v="2.0"/>
        <n v="15.0"/>
        <n v="8.0"/>
        <n v="27.0"/>
        <n v="10.0"/>
        <n v="1.0"/>
      </sharedItems>
    </cacheField>
    <cacheField name="valor" numFmtId="166">
      <sharedItems containsSemiMixedTypes="0" containsString="0" containsNumber="1">
        <n v="0.0"/>
        <n v="883.0"/>
        <n v="450.0"/>
        <n v="104.0"/>
        <n v="99.0"/>
        <n v="13.95"/>
        <n v="14.9"/>
        <n v="9.9"/>
        <n v="89.9"/>
        <n v="39.9"/>
        <n v="206.99"/>
        <n v="37.9"/>
        <n v="92.0"/>
        <n v="109.0"/>
        <n v="85.71000000000001"/>
        <n v="544.55"/>
        <n v="657.0"/>
        <n v="185.46"/>
        <n v="1228.0800000000002"/>
        <n v="116.74000000000001"/>
      </sharedItems>
    </cacheField>
    <cacheField name="situacao" numFmtId="0">
      <sharedItems containsBlank="1">
        <s v="pg"/>
        <s v="open"/>
        <m/>
      </sharedItems>
    </cacheField>
    <cacheField name="forma de pagamento" numFmtId="0">
      <sharedItems>
        <s v="boleto"/>
        <s v="debito automatico"/>
        <s v="nubank card"/>
        <s v="Bradesco cartoes"/>
      </sharedItems>
    </cacheField>
    <cacheField name="beneficiado" numFmtId="0">
      <sharedItems>
        <s v="Arthur"/>
        <s v="Aline"/>
        <s v="Alex"/>
        <s v="familia"/>
      </sharedItems>
    </cacheField>
    <cacheField name="outcome" numFmtId="0">
      <sharedItems>
        <s v="bradesco conta"/>
        <s v="santander conta"/>
        <s v="nubank conta"/>
      </sharedItems>
    </cacheField>
  </cacheFields>
</pivotCacheDefinition>
</file>

<file path=xl/pivotCache/pivotCacheDefinition9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5" sheet="Janeiro23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estacionamento"/>
        <s v="gympass"/>
        <s v="Combustivel"/>
        <s v="Aliexpress"/>
        <s v="Racao AMY"/>
        <s v="pet"/>
        <s v="livros Arthur"/>
        <s v="Farmacia"/>
        <s v="MERCADO"/>
        <s v="Feira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29.0"/>
        <n v="2.0"/>
        <n v="15.0"/>
        <n v="8.0"/>
        <n v="27.0"/>
        <n v="10.0"/>
        <n v="1.0"/>
      </sharedItems>
    </cacheField>
    <cacheField name="valor" numFmtId="166">
      <sharedItems containsSemiMixedTypes="0" containsString="0" containsNumber="1">
        <n v="0.0"/>
        <n v="883.0"/>
        <n v="450.0"/>
        <n v="104.0"/>
        <n v="99.0"/>
        <n v="13.95"/>
        <n v="14.9"/>
        <n v="9.9"/>
        <n v="89.9"/>
        <n v="39.9"/>
        <n v="206.99"/>
        <n v="37.9"/>
        <n v="92.0"/>
        <n v="109.0"/>
        <n v="85.71000000000001"/>
        <n v="544.55"/>
        <n v="657.0"/>
        <n v="185.46"/>
        <n v="1228.0800000000002"/>
        <n v="116.74000000000001"/>
      </sharedItems>
    </cacheField>
    <cacheField name="situacao" numFmtId="0">
      <sharedItems containsBlank="1">
        <s v="pg"/>
        <s v="open"/>
        <m/>
      </sharedItems>
    </cacheField>
    <cacheField name="forma de pagamento" numFmtId="0">
      <sharedItems>
        <s v="boleto"/>
        <s v="debito automatico"/>
        <s v="nubank card"/>
        <s v="Bradesco cartoes"/>
      </sharedItems>
    </cacheField>
    <cacheField name="beneficiado" numFmtId="0">
      <sharedItems>
        <s v="Arthur"/>
        <s v="Aline"/>
        <s v="Alex"/>
        <s v="familia"/>
      </sharedItems>
    </cacheField>
    <cacheField name="outcome" numFmtId="0">
      <sharedItems>
        <s v="bradesco conta"/>
        <s v="santander conta"/>
        <s v="nubank conta"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  <s v="cuidados pessoais"/>
      </sharedItems>
    </cacheField>
  </cacheFields>
</pivotCacheDefinition>
</file>

<file path=xl/pivotCache/pivotCacheDefinition9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5" sheet="Janeiro23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estacionamento"/>
        <s v="gympass"/>
        <s v="Combustivel"/>
        <s v="Aliexpress"/>
        <s v="Racao AMY"/>
        <s v="pet"/>
        <s v="livros Arthur"/>
        <s v="Farmacia"/>
        <s v="MERCADO"/>
        <s v="Feira"/>
      </sharedItems>
    </cacheField>
    <cacheField name="dia" numFmtId="0">
      <sharedItems containsSemiMixedTypes="0" containsString="0" containsNumber="1" containsInteger="1">
        <n v="5.0"/>
        <n v="7.0"/>
        <n v="26.0"/>
        <n v="14.0"/>
        <n v="11.0"/>
        <n v="20.0"/>
        <n v="30.0"/>
        <n v="29.0"/>
        <n v="2.0"/>
        <n v="15.0"/>
        <n v="8.0"/>
        <n v="27.0"/>
        <n v="10.0"/>
        <n v="1.0"/>
      </sharedItems>
    </cacheField>
    <cacheField name="valor" numFmtId="166">
      <sharedItems containsSemiMixedTypes="0" containsString="0" containsNumber="1">
        <n v="0.0"/>
        <n v="883.0"/>
        <n v="450.0"/>
        <n v="104.0"/>
        <n v="99.0"/>
        <n v="13.95"/>
        <n v="14.9"/>
        <n v="9.9"/>
        <n v="89.9"/>
        <n v="39.9"/>
        <n v="206.99"/>
        <n v="37.9"/>
        <n v="92.0"/>
        <n v="109.0"/>
        <n v="85.71000000000001"/>
        <n v="544.55"/>
        <n v="657.0"/>
        <n v="185.46"/>
        <n v="1228.0800000000002"/>
        <n v="116.74000000000001"/>
      </sharedItems>
    </cacheField>
    <cacheField name="situacao" numFmtId="0">
      <sharedItems containsBlank="1">
        <s v="pg"/>
        <s v="open"/>
        <m/>
      </sharedItems>
    </cacheField>
    <cacheField name="forma de pagamento" numFmtId="0">
      <sharedItems>
        <s v="boleto"/>
        <s v="debito automatico"/>
        <s v="nubank card"/>
        <s v="Bradesco cartoes"/>
      </sharedItems>
    </cacheField>
    <cacheField name="beneficiado" numFmtId="0">
      <sharedItems>
        <s v="Arthur"/>
        <s v="Aline"/>
        <s v="Alex"/>
        <s v="familia"/>
      </sharedItems>
    </cacheField>
    <cacheField name="outcome" numFmtId="0">
      <sharedItems>
        <s v="bradesco conta"/>
        <s v="santander conta"/>
        <s v="nubank conta"/>
      </sharedItems>
    </cacheField>
    <cacheField name="subclassificacao" numFmtId="0">
      <sharedItems containsBlank="1">
        <s v="despesas pessoais"/>
        <s v="habitacao"/>
        <s v="transporte"/>
        <s v="educacao"/>
        <m/>
      </sharedItems>
    </cacheField>
    <cacheField name="centro de custo" numFmtId="0">
      <sharedItems containsBlank="1">
        <s v="despesas essenciais"/>
        <m/>
        <s v="educacao"/>
        <s v="cuidados pessoais"/>
      </sharedItems>
    </cacheField>
    <cacheField name="categoria" numFmtId="0">
      <sharedItems containsBlank="1">
        <s v="escola/faculdade"/>
        <s v="Energia"/>
        <s v="Internet"/>
        <s v="Internet movel"/>
        <s v="streaming"/>
        <s v="contabilidade"/>
        <s v="seguro"/>
        <s v="cursos"/>
        <s v="estacionamentos"/>
        <s v="academia"/>
        <s v="combustivel"/>
        <s v="gift"/>
        <s v="Pet"/>
        <m/>
        <s v="farmacia"/>
        <s v="mercado"/>
        <s v="Feira"/>
      </sharedItems>
    </cacheField>
  </cacheFields>
</pivotCacheDefinition>
</file>

<file path=xl/pivotCache/pivotCacheDefinition9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2" sheet="setembro22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tenis netshoes"/>
        <s v="niter rotativo"/>
        <s v="gympass"/>
        <s v="emballart"/>
        <s v="Golden Fruit"/>
        <s v="eskimo"/>
        <s v="Drogaria união"/>
        <s v="carrefour"/>
        <s v="carrefour posto"/>
        <s v="assai"/>
        <s v="car show"/>
        <s v="McDonald’s"/>
        <s v="Carrefour eco"/>
        <s v="Chavao vet"/>
        <s v="drogaria tamoio"/>
        <s v="luar rede de postos"/>
        <s v="comercial petroleo"/>
        <s v="grupo genius brasil"/>
        <s v="o amigao"/>
        <s v="atacadao"/>
        <s v="drogaria pacheco"/>
        <s v="point dos animais"/>
        <s v="carrefour ram"/>
        <s v="purogas"/>
        <s v="supermercados guanabara"/>
        <s v="McDonalds"/>
        <s v="boulevard comercio"/>
        <s v="cacau show"/>
        <s v="azul"/>
        <s v="officina moto"/>
        <s v="veterinario sao bento"/>
        <s v="pix nubank"/>
        <s v="limite de credit"/>
        <s v="iof limite de credito"/>
        <s v="saque"/>
        <s v="assai atacadsta"/>
        <s v="Cartao aline"/>
        <s v="pix futebol"/>
        <s v="tarifa bancaria prime"/>
        <s v="pix droga vet"/>
        <s v="encapar banco motor"/>
        <s v="gas"/>
        <s v="material moto"/>
      </sharedItems>
    </cacheField>
    <cacheField name="dia">
      <sharedItems containsSemiMixedTypes="0" containsDate="1" containsString="0" containsMixedTypes="1">
        <n v="5.0"/>
        <n v="7.0"/>
        <n v="26.0"/>
        <n v="14.0"/>
        <n v="11.0"/>
        <n v="20.0"/>
        <n v="30.0"/>
        <n v="29.0"/>
        <n v="2.0"/>
        <n v="15.0"/>
        <n v="8.0"/>
        <n v="27.0"/>
        <n v="16.0"/>
        <n v="6.0"/>
        <d v="2022-08-26T00:00:00Z"/>
        <d v="2022-08-28T00:00:00Z"/>
        <d v="2022-08-29T00:00:00Z"/>
        <d v="2022-08-30T00:00:00Z"/>
        <d v="2022-08-31T00:00:00Z"/>
        <n v="1.0"/>
        <n v="3.0"/>
        <n v="12.0"/>
        <n v="17.0"/>
        <n v="18.0"/>
        <n v="21.0"/>
        <n v="22.0"/>
        <n v="13.0"/>
        <n v="23.0"/>
      </sharedItems>
    </cacheField>
    <cacheField name="valor" numFmtId="166">
      <sharedItems containsSemiMixedTypes="0" containsString="0" containsNumber="1">
        <n v="770.0"/>
        <n v="1566.0"/>
        <n v="998.0"/>
        <n v="550.0"/>
        <n v="99.0"/>
        <n v="13.95"/>
        <n v="14.9"/>
        <n v="9.9"/>
        <n v="89.9"/>
        <n v="39.9"/>
        <n v="44.99"/>
        <n v="206.99"/>
        <n v="37.9"/>
        <n v="22.0"/>
        <n v="5.0"/>
        <n v="109.0"/>
        <n v="31.82"/>
        <n v="37.27"/>
        <n v="12.5"/>
        <n v="14.59"/>
        <n v="144.87"/>
        <n v="44.33"/>
        <n v="212.31"/>
        <n v="930.0"/>
        <n v="12.9"/>
        <n v="649.7"/>
        <n v="100.0"/>
        <n v="12.35"/>
        <n v="65.97"/>
        <n v="20.0"/>
        <n v="78.11"/>
        <n v="30.0"/>
        <n v="48.36"/>
        <n v="70.0"/>
        <n v="23.0"/>
        <n v="46.97"/>
        <n v="77.0"/>
        <n v="165.51"/>
        <n v="44.88"/>
        <n v="63.8"/>
        <n v="6.49"/>
        <n v="34.9"/>
        <n v="74.32"/>
        <n v="90.62"/>
        <n v="57.11"/>
        <n v="73.36"/>
        <n v="232.7"/>
        <n v="39.5"/>
        <n v="655.69"/>
        <n v="120.0"/>
        <n v="290.0"/>
        <n v="10.0"/>
        <n v="3.49"/>
        <n v="0.03"/>
        <n v="0.05"/>
        <n v="60.0"/>
        <n v="11.97"/>
        <n v="460.0"/>
        <n v="50.0"/>
        <n v="71.8"/>
        <n v="79.0"/>
        <n v="97.0"/>
        <n v="123.0"/>
      </sharedItems>
    </cacheField>
    <cacheField name="situacao" numFmtId="0">
      <sharedItems>
        <s v="pg"/>
        <s v="open"/>
      </sharedItems>
    </cacheField>
    <cacheField name="forma de pagamento" numFmtId="0">
      <sharedItems>
        <s v="boleto"/>
        <s v="debito automatico"/>
        <s v="nubank card"/>
        <s v="Bradesco cartoes"/>
        <s v="debito"/>
        <s v="pix"/>
      </sharedItems>
    </cacheField>
    <cacheField name="beneficiado" numFmtId="0">
      <sharedItems>
        <s v="Arthur"/>
        <s v="Aline"/>
        <s v="Alex"/>
        <s v="familia"/>
        <s v="Pingo"/>
        <s v="amy"/>
        <s v="Luzia"/>
      </sharedItems>
    </cacheField>
    <cacheField name="outcome" numFmtId="0">
      <sharedItems>
        <s v="bradesco conta"/>
        <s v="santander conta"/>
        <s v="nubank conta"/>
      </sharedItems>
    </cacheField>
  </cacheFields>
</pivotCacheDefinition>
</file>

<file path=xl/pivotCache/pivotCacheDefinition9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72" sheet="setembro22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tenis netshoes"/>
        <s v="niter rotativo"/>
        <s v="gympass"/>
        <s v="emballart"/>
        <s v="Golden Fruit"/>
        <s v="eskimo"/>
        <s v="Drogaria união"/>
        <s v="carrefour"/>
        <s v="carrefour posto"/>
        <s v="assai"/>
        <s v="car show"/>
        <s v="McDonald’s"/>
        <s v="Carrefour eco"/>
        <s v="Chavao vet"/>
        <s v="drogaria tamoio"/>
        <s v="luar rede de postos"/>
        <s v="comercial petroleo"/>
        <s v="grupo genius brasil"/>
        <s v="o amigao"/>
        <s v="atacadao"/>
        <s v="drogaria pacheco"/>
        <s v="point dos animais"/>
        <s v="carrefour ram"/>
        <s v="purogas"/>
        <s v="supermercados guanabara"/>
        <s v="McDonalds"/>
        <s v="boulevard comercio"/>
        <s v="cacau show"/>
        <s v="azul"/>
        <s v="officina moto"/>
        <s v="veterinario sao bento"/>
        <s v="pix nubank"/>
        <s v="limite de credit"/>
        <s v="iof limite de credito"/>
        <s v="saque"/>
        <s v="assai atacadsta"/>
        <s v="Cartao aline"/>
        <s v="pix futebol"/>
        <s v="tarifa bancaria prime"/>
        <s v="pix droga vet"/>
        <s v="encapar banco motor"/>
        <s v="gas"/>
        <s v="material moto"/>
      </sharedItems>
    </cacheField>
    <cacheField name="dia">
      <sharedItems containsSemiMixedTypes="0" containsDate="1" containsString="0" containsMixedTypes="1">
        <n v="5.0"/>
        <n v="7.0"/>
        <n v="26.0"/>
        <n v="14.0"/>
        <n v="11.0"/>
        <n v="20.0"/>
        <n v="30.0"/>
        <n v="29.0"/>
        <n v="2.0"/>
        <n v="15.0"/>
        <n v="8.0"/>
        <n v="27.0"/>
        <n v="16.0"/>
        <n v="6.0"/>
        <d v="2022-08-26T00:00:00Z"/>
        <d v="2022-08-28T00:00:00Z"/>
        <d v="2022-08-29T00:00:00Z"/>
        <d v="2022-08-30T00:00:00Z"/>
        <d v="2022-08-31T00:00:00Z"/>
        <n v="1.0"/>
        <n v="3.0"/>
        <n v="12.0"/>
        <n v="17.0"/>
        <n v="18.0"/>
        <n v="21.0"/>
        <n v="22.0"/>
        <n v="13.0"/>
        <n v="23.0"/>
      </sharedItems>
    </cacheField>
    <cacheField name="valor" numFmtId="166">
      <sharedItems containsSemiMixedTypes="0" containsString="0" containsNumber="1">
        <n v="770.0"/>
        <n v="1566.0"/>
        <n v="998.0"/>
        <n v="550.0"/>
        <n v="99.0"/>
        <n v="13.95"/>
        <n v="14.9"/>
        <n v="9.9"/>
        <n v="89.9"/>
        <n v="39.9"/>
        <n v="44.99"/>
        <n v="206.99"/>
        <n v="37.9"/>
        <n v="22.0"/>
        <n v="5.0"/>
        <n v="109.0"/>
        <n v="31.82"/>
        <n v="37.27"/>
        <n v="12.5"/>
        <n v="14.59"/>
        <n v="144.87"/>
        <n v="44.33"/>
        <n v="212.31"/>
        <n v="930.0"/>
        <n v="12.9"/>
        <n v="649.7"/>
        <n v="100.0"/>
        <n v="12.35"/>
        <n v="65.97"/>
        <n v="20.0"/>
        <n v="78.11"/>
        <n v="30.0"/>
        <n v="48.36"/>
        <n v="70.0"/>
        <n v="23.0"/>
        <n v="46.97"/>
        <n v="77.0"/>
        <n v="165.51"/>
        <n v="44.88"/>
        <n v="63.8"/>
        <n v="6.49"/>
        <n v="34.9"/>
        <n v="74.32"/>
        <n v="90.62"/>
        <n v="57.11"/>
        <n v="73.36"/>
        <n v="232.7"/>
        <n v="39.5"/>
        <n v="655.69"/>
        <n v="120.0"/>
        <n v="290.0"/>
        <n v="10.0"/>
        <n v="3.49"/>
        <n v="0.03"/>
        <n v="0.05"/>
        <n v="60.0"/>
        <n v="11.97"/>
        <n v="460.0"/>
        <n v="50.0"/>
        <n v="71.8"/>
        <n v="79.0"/>
        <n v="97.0"/>
        <n v="123.0"/>
      </sharedItems>
    </cacheField>
    <cacheField name="situacao" numFmtId="0">
      <sharedItems>
        <s v="pg"/>
        <s v="open"/>
      </sharedItems>
    </cacheField>
    <cacheField name="forma de pagamento" numFmtId="0">
      <sharedItems>
        <s v="boleto"/>
        <s v="debito automatico"/>
        <s v="nubank card"/>
        <s v="Bradesco cartoes"/>
        <s v="debito"/>
        <s v="pix"/>
      </sharedItems>
    </cacheField>
    <cacheField name="beneficiado" numFmtId="0">
      <sharedItems>
        <s v="Arthur"/>
        <s v="Aline"/>
        <s v="Alex"/>
        <s v="familia"/>
        <s v="Pingo"/>
        <s v="amy"/>
        <s v="Luzia"/>
      </sharedItems>
    </cacheField>
    <cacheField name="outcome" numFmtId="0">
      <sharedItems>
        <s v="bradesco conta"/>
        <s v="santander conta"/>
        <s v="nubank conta"/>
      </sharedItems>
    </cacheField>
    <cacheField name="subclassificacao" numFmtId="0">
      <sharedItems>
        <s v="despesas pessoais"/>
        <s v="habitacao"/>
        <s v="transporte"/>
        <s v="educacao"/>
        <s v="outros"/>
        <s v="lazer"/>
        <s v="saude"/>
      </sharedItems>
    </cacheField>
    <cacheField name="centro de custo" numFmtId="0">
      <sharedItems containsBlank="1">
        <s v="despesas essenciais"/>
        <m/>
        <s v="educacao"/>
      </sharedItems>
    </cacheField>
  </cacheFields>
</pivotCacheDefinition>
</file>

<file path=xl/pivotCache/pivotCacheDefinition9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72" sheet="setembro22"/>
  </cacheSource>
  <cacheFields>
    <cacheField name="Descricao" numFmtId="0">
      <sharedItems>
        <s v="escolar Arthur"/>
        <s v="Faculdade Aline"/>
        <s v="Faculdade Alex"/>
        <s v="Conta de energia"/>
        <s v="internet fixa"/>
        <s v="internet oi móvel"/>
        <s v="streaming HBO"/>
        <s v="streaming amazonPrime"/>
        <s v="assinatura mercado livre"/>
        <s v="contra contabilidade"/>
        <s v="assinatura NETFLIX"/>
        <s v="assinatura GamePass"/>
        <s v="seguro PIER carro"/>
        <s v="curso rocketseatPlus"/>
        <s v="tenis netshoes"/>
        <s v="niter rotativo"/>
        <s v="gympass"/>
        <s v="emballart"/>
        <s v="Golden Fruit"/>
        <s v="eskimo"/>
        <s v="Drogaria união"/>
        <s v="carrefour"/>
        <s v="carrefour posto"/>
        <s v="assai"/>
        <s v="car show"/>
        <s v="McDonald’s"/>
        <s v="Carrefour eco"/>
        <s v="Chavao vet"/>
        <s v="drogaria tamoio"/>
        <s v="luar rede de postos"/>
        <s v="comercial petroleo"/>
        <s v="grupo genius brasil"/>
        <s v="o amigao"/>
        <s v="atacadao"/>
        <s v="drogaria pacheco"/>
        <s v="point dos animais"/>
        <s v="carrefour ram"/>
        <s v="purogas"/>
        <s v="supermercados guanabara"/>
        <s v="McDonalds"/>
        <s v="boulevard comercio"/>
        <s v="cacau show"/>
        <s v="azul"/>
        <s v="officina moto"/>
        <s v="veterinario sao bento"/>
        <s v="pix nubank"/>
        <s v="limite de credit"/>
        <s v="iof limite de credito"/>
        <s v="saque"/>
        <s v="assai atacadsta"/>
        <s v="Cartao aline"/>
        <s v="pix futebol"/>
        <s v="tarifa bancaria prime"/>
        <s v="pix droga vet"/>
        <s v="encapar banco motor"/>
        <s v="gas"/>
        <s v="material moto"/>
      </sharedItems>
    </cacheField>
    <cacheField name="dia">
      <sharedItems containsSemiMixedTypes="0" containsDate="1" containsString="0" containsMixedTypes="1">
        <n v="5.0"/>
        <n v="7.0"/>
        <n v="26.0"/>
        <n v="14.0"/>
        <n v="11.0"/>
        <n v="20.0"/>
        <n v="30.0"/>
        <n v="29.0"/>
        <n v="2.0"/>
        <n v="15.0"/>
        <n v="8.0"/>
        <n v="27.0"/>
        <n v="16.0"/>
        <n v="6.0"/>
        <d v="2022-08-26T00:00:00Z"/>
        <d v="2022-08-28T00:00:00Z"/>
        <d v="2022-08-29T00:00:00Z"/>
        <d v="2022-08-30T00:00:00Z"/>
        <d v="2022-08-31T00:00:00Z"/>
        <n v="1.0"/>
        <n v="3.0"/>
        <n v="12.0"/>
        <n v="17.0"/>
        <n v="18.0"/>
        <n v="21.0"/>
        <n v="22.0"/>
        <n v="13.0"/>
        <n v="23.0"/>
      </sharedItems>
    </cacheField>
    <cacheField name="valor" numFmtId="166">
      <sharedItems containsSemiMixedTypes="0" containsString="0" containsNumber="1">
        <n v="770.0"/>
        <n v="1566.0"/>
        <n v="998.0"/>
        <n v="550.0"/>
        <n v="99.0"/>
        <n v="13.95"/>
        <n v="14.9"/>
        <n v="9.9"/>
        <n v="89.9"/>
        <n v="39.9"/>
        <n v="44.99"/>
        <n v="206.99"/>
        <n v="37.9"/>
        <n v="22.0"/>
        <n v="5.0"/>
        <n v="109.0"/>
        <n v="31.82"/>
        <n v="37.27"/>
        <n v="12.5"/>
        <n v="14.59"/>
        <n v="144.87"/>
        <n v="44.33"/>
        <n v="212.31"/>
        <n v="930.0"/>
        <n v="12.9"/>
        <n v="649.7"/>
        <n v="100.0"/>
        <n v="12.35"/>
        <n v="65.97"/>
        <n v="20.0"/>
        <n v="78.11"/>
        <n v="30.0"/>
        <n v="48.36"/>
        <n v="70.0"/>
        <n v="23.0"/>
        <n v="46.97"/>
        <n v="77.0"/>
        <n v="165.51"/>
        <n v="44.88"/>
        <n v="63.8"/>
        <n v="6.49"/>
        <n v="34.9"/>
        <n v="74.32"/>
        <n v="90.62"/>
        <n v="57.11"/>
        <n v="73.36"/>
        <n v="232.7"/>
        <n v="39.5"/>
        <n v="655.69"/>
        <n v="120.0"/>
        <n v="290.0"/>
        <n v="10.0"/>
        <n v="3.49"/>
        <n v="0.03"/>
        <n v="0.05"/>
        <n v="60.0"/>
        <n v="11.97"/>
        <n v="460.0"/>
        <n v="50.0"/>
        <n v="71.8"/>
        <n v="79.0"/>
        <n v="97.0"/>
        <n v="123.0"/>
      </sharedItems>
    </cacheField>
    <cacheField name="situacao" numFmtId="0">
      <sharedItems>
        <s v="pg"/>
        <s v="open"/>
      </sharedItems>
    </cacheField>
    <cacheField name="forma de pagamento" numFmtId="0">
      <sharedItems>
        <s v="boleto"/>
        <s v="debito automatico"/>
        <s v="nubank card"/>
        <s v="Bradesco cartoes"/>
        <s v="debito"/>
        <s v="pix"/>
      </sharedItems>
    </cacheField>
    <cacheField name="beneficiado" numFmtId="0">
      <sharedItems>
        <s v="Arthur"/>
        <s v="Aline"/>
        <s v="Alex"/>
        <s v="familia"/>
        <s v="Pingo"/>
        <s v="amy"/>
        <s v="Luzia"/>
      </sharedItems>
    </cacheField>
    <cacheField name="outcome" numFmtId="0">
      <sharedItems>
        <s v="bradesco conta"/>
        <s v="santander conta"/>
        <s v="nubank conta"/>
      </sharedItems>
    </cacheField>
    <cacheField name="subclassificacao" numFmtId="0">
      <sharedItems>
        <s v="despesas pessoais"/>
        <s v="habitacao"/>
        <s v="transporte"/>
        <s v="educacao"/>
        <s v="outros"/>
        <s v="lazer"/>
        <s v="saude"/>
      </sharedItems>
    </cacheField>
    <cacheField name="centro de custo" numFmtId="0">
      <sharedItems containsBlank="1">
        <s v="despesas essenciais"/>
        <m/>
        <s v="educacao"/>
      </sharedItems>
    </cacheField>
    <cacheField name="categoria" numFmtId="0">
      <sharedItems>
        <s v="escola/faculdade"/>
        <s v="Energia"/>
        <s v="Internet"/>
        <s v="Internet movel"/>
        <s v="streaming"/>
        <s v="contabilidade"/>
        <s v="seguro"/>
        <s v="cursos"/>
        <s v="vestiario"/>
        <s v="estacionamentos"/>
        <s v="academia"/>
        <s v="outros"/>
        <s v="feira"/>
        <s v="lazer"/>
        <s v="farmacia"/>
        <s v="mercado"/>
        <s v="combustivel"/>
        <s v="manutencao de veiculo"/>
        <s v="pet"/>
        <s v="material escolar"/>
        <s v="cuidados com a casa"/>
        <s v="presentes do mes"/>
        <s v="presentes de natal"/>
        <s v="pedagios"/>
        <s v="limite de credito"/>
        <s v="saque"/>
        <s v="cartao aline"/>
        <s v="futebol"/>
        <s v="tarifa bancaria"/>
        <s v="gas de cozinh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6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6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6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6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6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6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6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6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8.xml"/></Relationships>
</file>

<file path=xl/pivotTables/_rels/pivotTable6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7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0.xml"/></Relationships>
</file>

<file path=xl/pivotTables/_rels/pivotTable7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7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7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3.xml"/></Relationships>
</file>

<file path=xl/pivotTables/_rels/pivotTable7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4.xml"/></Relationships>
</file>

<file path=xl/pivotTables/_rels/pivotTable7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5.xml"/></Relationships>
</file>

<file path=xl/pivotTables/_rels/pivotTable7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6.xml"/></Relationships>
</file>

<file path=xl/pivotTables/_rels/pivotTable7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7.xml"/></Relationships>
</file>

<file path=xl/pivotTables/_rels/pivotTable7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8.xml"/></Relationships>
</file>

<file path=xl/pivotTables/_rels/pivotTable7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9.xml"/></Relationships>
</file>

<file path=xl/pivotTables/_rels/pivotTable8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0.xml"/></Relationships>
</file>

<file path=xl/pivotTables/_rels/pivotTable8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1.xml"/></Relationships>
</file>

<file path=xl/pivotTables/_rels/pivotTable8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2.xml"/></Relationships>
</file>

<file path=xl/pivotTables/_rels/pivotTable8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3.xml"/></Relationships>
</file>

<file path=xl/pivotTables/_rels/pivotTable8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4.xml"/></Relationships>
</file>

<file path=xl/pivotTables/_rels/pivotTable8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5.xml"/></Relationships>
</file>

<file path=xl/pivotTables/_rels/pivotTable8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6.xml"/></Relationships>
</file>

<file path=xl/pivotTables/_rels/pivotTable8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7.xml"/></Relationships>
</file>

<file path=xl/pivotTables/_rels/pivotTable8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8.xml"/></Relationships>
</file>

<file path=xl/pivotTables/_rels/pivotTable8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9.xml"/></Relationships>
</file>

<file path=xl/pivotTables/_rels/pivotTable9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0.xml"/></Relationships>
</file>

<file path=xl/pivotTables/_rels/pivotTable9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1.xml"/></Relationships>
</file>

<file path=xl/pivotTables/_rels/pivotTable9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2.xml"/></Relationships>
</file>

<file path=xl/pivotTables/_rels/pivotTable9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3.xml"/></Relationships>
</file>

<file path=xl/pivotTables/_rels/pivotTable9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4.xml"/></Relationships>
</file>

<file path=xl/pivotTables/_rels/pivotTable9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5.xml"/></Relationships>
</file>

<file path=xl/pivotTables/_rels/pivotTable9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6.xml"/></Relationships>
</file>

<file path=xl/pivotTables/_rels/pivotTable9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7.xml"/></Relationships>
</file>

<file path=xl/pivotTables/_rels/pivotTable9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8.xml"/></Relationships>
</file>

<file path=xl/pivotTables/_rels/pivotTable9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9.xml"/></Relationships>
</file>

<file path=xl/pivotTables/pivotTable1.xml><?xml version="1.0" encoding="utf-8"?>
<pivotTableDefinition xmlns="http://schemas.openxmlformats.org/spreadsheetml/2006/main" name="jan26" cacheId="0" dataCaption="" compact="0" compactData="0">
  <location ref="A170:C177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2.xml><?xml version="1.0" encoding="utf-8"?>
<pivotTableDefinition xmlns="http://schemas.openxmlformats.org/spreadsheetml/2006/main" name="jan26 2" cacheId="1" dataCaption="" compact="0" compactData="0">
  <location ref="A179:C185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3.xml><?xml version="1.0" encoding="utf-8"?>
<pivotTableDefinition xmlns="http://schemas.openxmlformats.org/spreadsheetml/2006/main" name="jan26 3" cacheId="2" dataCaption="" compact="0" compactData="0">
  <location ref="A187:B218" firstHeaderRow="0" firstDataRow="1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4.xml><?xml version="1.0" encoding="utf-8"?>
<pivotTableDefinition xmlns="http://schemas.openxmlformats.org/spreadsheetml/2006/main" name="nov25" cacheId="3" dataCaption="" compact="0" compactData="0">
  <location ref="A123:C129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5.xml><?xml version="1.0" encoding="utf-8"?>
<pivotTableDefinition xmlns="http://schemas.openxmlformats.org/spreadsheetml/2006/main" name="nov25 2" cacheId="4" dataCaption="" compact="0" compactData="0">
  <location ref="A132:C138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6.xml><?xml version="1.0" encoding="utf-8"?>
<pivotTableDefinition xmlns="http://schemas.openxmlformats.org/spreadsheetml/2006/main" name="nov25 3" cacheId="5" dataCaption="" compact="0" compactData="0">
  <location ref="A140:B172" firstHeaderRow="0" firstDataRow="1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7.xml><?xml version="1.0" encoding="utf-8"?>
<pivotTableDefinition xmlns="http://schemas.openxmlformats.org/spreadsheetml/2006/main" name="ago25" cacheId="6" dataCaption="" compact="0" compactData="0">
  <location ref="A123:C129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8.xml><?xml version="1.0" encoding="utf-8"?>
<pivotTableDefinition xmlns="http://schemas.openxmlformats.org/spreadsheetml/2006/main" name="ago25 2" cacheId="7" dataCaption="" compact="0" compactData="0">
  <location ref="A132:C138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9.xml><?xml version="1.0" encoding="utf-8"?>
<pivotTableDefinition xmlns="http://schemas.openxmlformats.org/spreadsheetml/2006/main" name="ago25 3" cacheId="8" dataCaption="" compact="0" compactData="0">
  <location ref="A140:B171" firstHeaderRow="0" firstDataRow="1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10.xml><?xml version="1.0" encoding="utf-8"?>
<pivotTableDefinition xmlns="http://schemas.openxmlformats.org/spreadsheetml/2006/main" name="set25" cacheId="9" dataCaption="" compact="0" compactData="0">
  <location ref="A123:C130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11.xml><?xml version="1.0" encoding="utf-8"?>
<pivotTableDefinition xmlns="http://schemas.openxmlformats.org/spreadsheetml/2006/main" name="set25 2" cacheId="10" dataCaption="" compact="0" compactData="0">
  <location ref="A132:C138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12.xml><?xml version="1.0" encoding="utf-8"?>
<pivotTableDefinition xmlns="http://schemas.openxmlformats.org/spreadsheetml/2006/main" name="set25 3" cacheId="11" dataCaption="" compact="0" compactData="0">
  <location ref="A140:B171" firstHeaderRow="0" firstDataRow="1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13.xml><?xml version="1.0" encoding="utf-8"?>
<pivotTableDefinition xmlns="http://schemas.openxmlformats.org/spreadsheetml/2006/main" name="out25" cacheId="12" dataCaption="" compact="0" compactData="0">
  <location ref="A123:C129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14.xml><?xml version="1.0" encoding="utf-8"?>
<pivotTableDefinition xmlns="http://schemas.openxmlformats.org/spreadsheetml/2006/main" name="out25 2" cacheId="13" dataCaption="" compact="0" compactData="0">
  <location ref="A132:C138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15.xml><?xml version="1.0" encoding="utf-8"?>
<pivotTableDefinition xmlns="http://schemas.openxmlformats.org/spreadsheetml/2006/main" name="out25 3" cacheId="14" dataCaption="" compact="0" compactData="0">
  <location ref="A140:B171" firstHeaderRow="0" firstDataRow="1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16.xml><?xml version="1.0" encoding="utf-8"?>
<pivotTableDefinition xmlns="http://schemas.openxmlformats.org/spreadsheetml/2006/main" name="jul25" cacheId="15" dataCaption="" compact="0" compactData="0">
  <location ref="A123:C129" firstHeaderRow="0" firstDataRow="2" firstDataCol="0"/>
  <pivotFields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17.xml><?xml version="1.0" encoding="utf-8"?>
<pivotTableDefinition xmlns="http://schemas.openxmlformats.org/spreadsheetml/2006/main" name="jul25 2" cacheId="16" dataCaption="" compact="0" compactData="0">
  <location ref="A132:C138" firstHeaderRow="0" firstDataRow="2" firstDataCol="0"/>
  <pivotFields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18.xml><?xml version="1.0" encoding="utf-8"?>
<pivotTableDefinition xmlns="http://schemas.openxmlformats.org/spreadsheetml/2006/main" name="jul25 3" cacheId="17" dataCaption="" compact="0" compactData="0">
  <location ref="A140:B171" firstHeaderRow="0" firstDataRow="1" firstDataCol="0"/>
  <pivotFields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19.xml><?xml version="1.0" encoding="utf-8"?>
<pivotTableDefinition xmlns="http://schemas.openxmlformats.org/spreadsheetml/2006/main" name="jun25" cacheId="18" dataCaption="" compact="0" compactData="0">
  <location ref="A123:C129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20.xml><?xml version="1.0" encoding="utf-8"?>
<pivotTableDefinition xmlns="http://schemas.openxmlformats.org/spreadsheetml/2006/main" name="jun25 2" cacheId="19" dataCaption="" compact="0" compactData="0">
  <location ref="A132:C138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21.xml><?xml version="1.0" encoding="utf-8"?>
<pivotTableDefinition xmlns="http://schemas.openxmlformats.org/spreadsheetml/2006/main" name="jun25 3" cacheId="20" dataCaption="" compact="0" compactData="0">
  <location ref="A140:B170" firstHeaderRow="0" firstDataRow="1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22.xml><?xml version="1.0" encoding="utf-8"?>
<pivotTableDefinition xmlns="http://schemas.openxmlformats.org/spreadsheetml/2006/main" name="mai25" cacheId="21" dataCaption="" compact="0" compactData="0">
  <location ref="A124:C130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23.xml><?xml version="1.0" encoding="utf-8"?>
<pivotTableDefinition xmlns="http://schemas.openxmlformats.org/spreadsheetml/2006/main" name="mai25 2" cacheId="22" dataCaption="" compact="0" compactData="0">
  <location ref="A133:C139" firstHeaderRow="0" firstDataRow="2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24.xml><?xml version="1.0" encoding="utf-8"?>
<pivotTableDefinition xmlns="http://schemas.openxmlformats.org/spreadsheetml/2006/main" name="mai25 3" cacheId="23" dataCaption="" compact="0" compactData="0">
  <location ref="A141:B172" firstHeaderRow="0" firstDataRow="1" firstDataCol="0"/>
  <pivotFields>
    <pivotField name="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25.xml><?xml version="1.0" encoding="utf-8"?>
<pivotTableDefinition xmlns="http://schemas.openxmlformats.org/spreadsheetml/2006/main" name="abr25" cacheId="24" dataCaption="" compact="0" compactData="0">
  <location ref="A109:C120" firstHeaderRow="0" firstDataRow="2" firstDataCol="0"/>
  <pivotFields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1"/>
        <item x="7"/>
        <item x="2"/>
        <item x="3"/>
        <item x="6"/>
        <item x="4"/>
        <item x="5"/>
        <item x="8"/>
        <item x="9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26.xml><?xml version="1.0" encoding="utf-8"?>
<pivotTableDefinition xmlns="http://schemas.openxmlformats.org/spreadsheetml/2006/main" name="abr25 2" cacheId="25" dataCaption="" compact="0" compactData="0">
  <location ref="A122:C128" firstHeaderRow="0" firstDataRow="2" firstDataCol="0"/>
  <pivotFields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27.xml><?xml version="1.0" encoding="utf-8"?>
<pivotTableDefinition xmlns="http://schemas.openxmlformats.org/spreadsheetml/2006/main" name="abr25 3" cacheId="26" dataCaption="" compact="0" compactData="0">
  <location ref="A130:B158" firstHeaderRow="0" firstDataRow="1" firstDataCol="0"/>
  <pivotFields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28.xml><?xml version="1.0" encoding="utf-8"?>
<pivotTableDefinition xmlns="http://schemas.openxmlformats.org/spreadsheetml/2006/main" name="jan25" cacheId="27" dataCaption="" compact="0" compactData="0">
  <location ref="A107:C113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2"/>
        <item x="3"/>
        <item x="1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29.xml><?xml version="1.0" encoding="utf-8"?>
<pivotTableDefinition xmlns="http://schemas.openxmlformats.org/spreadsheetml/2006/main" name="jan25 2" cacheId="28" dataCaption="" compact="0" compactData="0">
  <location ref="A116:C12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1"/>
        <item x="0"/>
        <item x="4"/>
        <item x="2"/>
        <item x="3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30.xml><?xml version="1.0" encoding="utf-8"?>
<pivotTableDefinition xmlns="http://schemas.openxmlformats.org/spreadsheetml/2006/main" name="jan25 3" cacheId="29" dataCaption="" compact="0" compactData="0">
  <location ref="A126:B149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31.xml><?xml version="1.0" encoding="utf-8"?>
<pivotTableDefinition xmlns="http://schemas.openxmlformats.org/spreadsheetml/2006/main" name="fev25" cacheId="30" dataCaption="" compact="0" compactData="0">
  <location ref="A108:C119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1"/>
        <item x="5"/>
        <item x="7"/>
        <item x="8"/>
        <item x="2"/>
        <item x="3"/>
        <item x="4"/>
        <item x="6"/>
        <item x="9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32.xml><?xml version="1.0" encoding="utf-8"?>
<pivotTableDefinition xmlns="http://schemas.openxmlformats.org/spreadsheetml/2006/main" name="fev25 2" cacheId="31" dataCaption="" compact="0" compactData="0">
  <location ref="A121:C127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33.xml><?xml version="1.0" encoding="utf-8"?>
<pivotTableDefinition xmlns="http://schemas.openxmlformats.org/spreadsheetml/2006/main" name="fev25 3" cacheId="32" dataCaption="" compact="0" compactData="0">
  <location ref="A131:B158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34.xml><?xml version="1.0" encoding="utf-8"?>
<pivotTableDefinition xmlns="http://schemas.openxmlformats.org/spreadsheetml/2006/main" name="mar25" cacheId="33" dataCaption="" compact="0" compactData="0">
  <location ref="A104:C114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1"/>
        <item x="5"/>
        <item x="7"/>
        <item x="2"/>
        <item x="3"/>
        <item x="4"/>
        <item x="6"/>
        <item x="8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35.xml><?xml version="1.0" encoding="utf-8"?>
<pivotTableDefinition xmlns="http://schemas.openxmlformats.org/spreadsheetml/2006/main" name="mar25 2" cacheId="34" dataCaption="" compact="0" compactData="0">
  <location ref="A116:C12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36.xml><?xml version="1.0" encoding="utf-8"?>
<pivotTableDefinition xmlns="http://schemas.openxmlformats.org/spreadsheetml/2006/main" name="mar25 3" cacheId="35" dataCaption="" compact="0" compactData="0">
  <location ref="A124:B154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37.xml><?xml version="1.0" encoding="utf-8"?>
<pivotTableDefinition xmlns="http://schemas.openxmlformats.org/spreadsheetml/2006/main" name="set24" cacheId="36" dataCaption="" compact="0" compactData="0">
  <location ref="A106:C11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38.xml><?xml version="1.0" encoding="utf-8"?>
<pivotTableDefinition xmlns="http://schemas.openxmlformats.org/spreadsheetml/2006/main" name="set24 2" cacheId="37" dataCaption="" compact="0" compactData="0">
  <location ref="A115:C121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39.xml><?xml version="1.0" encoding="utf-8"?>
<pivotTableDefinition xmlns="http://schemas.openxmlformats.org/spreadsheetml/2006/main" name="set24 3" cacheId="38" dataCaption="" compact="0" compactData="0">
  <location ref="A125:B148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40.xml><?xml version="1.0" encoding="utf-8"?>
<pivotTableDefinition xmlns="http://schemas.openxmlformats.org/spreadsheetml/2006/main" name="jun24" cacheId="39" dataCaption="" compact="0" compactData="0">
  <location ref="A106:C11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41.xml><?xml version="1.0" encoding="utf-8"?>
<pivotTableDefinition xmlns="http://schemas.openxmlformats.org/spreadsheetml/2006/main" name="jun24 2" cacheId="40" dataCaption="" compact="0" compactData="0">
  <location ref="A115:C121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42.xml><?xml version="1.0" encoding="utf-8"?>
<pivotTableDefinition xmlns="http://schemas.openxmlformats.org/spreadsheetml/2006/main" name="jun24 3" cacheId="41" dataCaption="" compact="0" compactData="0">
  <location ref="A125:B149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43.xml><?xml version="1.0" encoding="utf-8"?>
<pivotTableDefinition xmlns="http://schemas.openxmlformats.org/spreadsheetml/2006/main" name="jul24" cacheId="42" dataCaption="" compact="0" compactData="0">
  <location ref="A106:C11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44.xml><?xml version="1.0" encoding="utf-8"?>
<pivotTableDefinition xmlns="http://schemas.openxmlformats.org/spreadsheetml/2006/main" name="jul24 2" cacheId="43" dataCaption="" compact="0" compactData="0">
  <location ref="A115:C121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45.xml><?xml version="1.0" encoding="utf-8"?>
<pivotTableDefinition xmlns="http://schemas.openxmlformats.org/spreadsheetml/2006/main" name="jul24 3" cacheId="44" dataCaption="" compact="0" compactData="0">
  <location ref="A125:B149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46.xml><?xml version="1.0" encoding="utf-8"?>
<pivotTableDefinition xmlns="http://schemas.openxmlformats.org/spreadsheetml/2006/main" name="maio24" cacheId="45" dataCaption="" compact="0" compactData="0">
  <location ref="A106:C11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47.xml><?xml version="1.0" encoding="utf-8"?>
<pivotTableDefinition xmlns="http://schemas.openxmlformats.org/spreadsheetml/2006/main" name="maio24 2" cacheId="46" dataCaption="" compact="0" compactData="0">
  <location ref="A115:C121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48.xml><?xml version="1.0" encoding="utf-8"?>
<pivotTableDefinition xmlns="http://schemas.openxmlformats.org/spreadsheetml/2006/main" name="maio24 3" cacheId="47" dataCaption="" compact="0" compactData="0">
  <location ref="A125:B148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49.xml><?xml version="1.0" encoding="utf-8"?>
<pivotTableDefinition xmlns="http://schemas.openxmlformats.org/spreadsheetml/2006/main" name="abril24" cacheId="48" dataCaption="" compact="0" compactData="0">
  <location ref="A106:C11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50.xml><?xml version="1.0" encoding="utf-8"?>
<pivotTableDefinition xmlns="http://schemas.openxmlformats.org/spreadsheetml/2006/main" name="abril24 2" cacheId="49" dataCaption="" compact="0" compactData="0">
  <location ref="A115:C121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51.xml><?xml version="1.0" encoding="utf-8"?>
<pivotTableDefinition xmlns="http://schemas.openxmlformats.org/spreadsheetml/2006/main" name="abril24 3" cacheId="50" dataCaption="" compact="0" compactData="0">
  <location ref="A125:B149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52.xml><?xml version="1.0" encoding="utf-8"?>
<pivotTableDefinition xmlns="http://schemas.openxmlformats.org/spreadsheetml/2006/main" name="marco24" cacheId="51" dataCaption="" compact="0" compactData="0">
  <location ref="A106:C11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53.xml><?xml version="1.0" encoding="utf-8"?>
<pivotTableDefinition xmlns="http://schemas.openxmlformats.org/spreadsheetml/2006/main" name="marco24 2" cacheId="52" dataCaption="" compact="0" compactData="0">
  <location ref="A115:C121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54.xml><?xml version="1.0" encoding="utf-8"?>
<pivotTableDefinition xmlns="http://schemas.openxmlformats.org/spreadsheetml/2006/main" name="marco24 3" cacheId="53" dataCaption="" compact="0" compactData="0">
  <location ref="A125:B149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55.xml><?xml version="1.0" encoding="utf-8"?>
<pivotTableDefinition xmlns="http://schemas.openxmlformats.org/spreadsheetml/2006/main" name="fevereiro24" cacheId="54" dataCaption="" compact="0" compactData="0">
  <location ref="A106:C11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56.xml><?xml version="1.0" encoding="utf-8"?>
<pivotTableDefinition xmlns="http://schemas.openxmlformats.org/spreadsheetml/2006/main" name="fevereiro24 2" cacheId="55" dataCaption="" compact="0" compactData="0">
  <location ref="A115:C121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57.xml><?xml version="1.0" encoding="utf-8"?>
<pivotTableDefinition xmlns="http://schemas.openxmlformats.org/spreadsheetml/2006/main" name="fevereiro24 3" cacheId="56" dataCaption="" compact="0" compactData="0">
  <location ref="A125:B150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58.xml><?xml version="1.0" encoding="utf-8"?>
<pivotTableDefinition xmlns="http://schemas.openxmlformats.org/spreadsheetml/2006/main" name="janneiro24" cacheId="57" dataCaption="" compact="0" compactData="0">
  <location ref="A106:C11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59.xml><?xml version="1.0" encoding="utf-8"?>
<pivotTableDefinition xmlns="http://schemas.openxmlformats.org/spreadsheetml/2006/main" name="janneiro24 2" cacheId="58" dataCaption="" compact="0" compactData="0">
  <location ref="A115:C121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60.xml><?xml version="1.0" encoding="utf-8"?>
<pivotTableDefinition xmlns="http://schemas.openxmlformats.org/spreadsheetml/2006/main" name="janneiro24 3" cacheId="59" dataCaption="" compact="0" compactData="0">
  <location ref="A125:B150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61.xml><?xml version="1.0" encoding="utf-8"?>
<pivotTableDefinition xmlns="http://schemas.openxmlformats.org/spreadsheetml/2006/main" name="Dezembro23" cacheId="60" dataCaption="" compact="0" compactData="0">
  <location ref="A107:C113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situacao" compact="0" outline="0" multipleItemSelectionAllowed="1" showAll="0">
      <items>
        <item x="0"/>
        <item x="1"/>
        <item t="default"/>
      </items>
    </pivotField>
    <pivotField name="forma de pagamento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62.xml><?xml version="1.0" encoding="utf-8"?>
<pivotTableDefinition xmlns="http://schemas.openxmlformats.org/spreadsheetml/2006/main" name="Dezembro23 2" cacheId="61" dataCaption="" compact="0" compactData="0">
  <location ref="A116:C12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situacao" compact="0" outline="0" multipleItemSelectionAllowed="1" showAll="0">
      <items>
        <item x="0"/>
        <item x="1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63.xml><?xml version="1.0" encoding="utf-8"?>
<pivotTableDefinition xmlns="http://schemas.openxmlformats.org/spreadsheetml/2006/main" name="Dezembro23 3" cacheId="62" dataCaption="" compact="0" compactData="0">
  <location ref="A126:B151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situacao" compact="0" outline="0" multipleItemSelectionAllowed="1" showAll="0">
      <items>
        <item x="0"/>
        <item x="1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64.xml><?xml version="1.0" encoding="utf-8"?>
<pivotTableDefinition xmlns="http://schemas.openxmlformats.org/spreadsheetml/2006/main" name="novembro23" cacheId="63" dataCaption="" compact="0" compactData="0">
  <location ref="A101:C108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5"/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65.xml><?xml version="1.0" encoding="utf-8"?>
<pivotTableDefinition xmlns="http://schemas.openxmlformats.org/spreadsheetml/2006/main" name="novembro23 2" cacheId="64" dataCaption="" compact="0" compactData="0">
  <location ref="A110:C116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66.xml><?xml version="1.0" encoding="utf-8"?>
<pivotTableDefinition xmlns="http://schemas.openxmlformats.org/spreadsheetml/2006/main" name="novembro23 3" cacheId="65" dataCaption="" compact="0" compactData="0">
  <location ref="A120:B144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67.xml><?xml version="1.0" encoding="utf-8"?>
<pivotTableDefinition xmlns="http://schemas.openxmlformats.org/spreadsheetml/2006/main" name="outubro23" cacheId="66" dataCaption="" compact="0" compactData="0">
  <location ref="A101:C108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5"/>
        <item x="0"/>
        <item x="4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68.xml><?xml version="1.0" encoding="utf-8"?>
<pivotTableDefinition xmlns="http://schemas.openxmlformats.org/spreadsheetml/2006/main" name="outubro23 2" cacheId="67" dataCaption="" compact="0" compactData="0">
  <location ref="A110:C116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69.xml><?xml version="1.0" encoding="utf-8"?>
<pivotTableDefinition xmlns="http://schemas.openxmlformats.org/spreadsheetml/2006/main" name="outubro23 3" cacheId="68" dataCaption="" compact="0" compactData="0">
  <location ref="A120:B145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70.xml><?xml version="1.0" encoding="utf-8"?>
<pivotTableDefinition xmlns="http://schemas.openxmlformats.org/spreadsheetml/2006/main" name="setembro23" cacheId="69" dataCaption="" compact="0" compactData="0">
  <location ref="A105:C11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axis="axisRow" compact="0" outline="0" multipleItemSelectionAllowed="1" showAll="0" sortType="ascending">
      <items>
        <item x="4"/>
        <item x="0"/>
        <item x="3"/>
        <item x="1"/>
        <item x="2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71.xml><?xml version="1.0" encoding="utf-8"?>
<pivotTableDefinition xmlns="http://schemas.openxmlformats.org/spreadsheetml/2006/main" name="setembro23 2" cacheId="70" dataCaption="" compact="0" compactData="0">
  <location ref="A114:C119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72.xml><?xml version="1.0" encoding="utf-8"?>
<pivotTableDefinition xmlns="http://schemas.openxmlformats.org/spreadsheetml/2006/main" name="setembro23 3" cacheId="71" dataCaption="" compact="0" compactData="0">
  <location ref="A124:B148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t="default"/>
      </items>
    </pivotField>
    <pivotField name="centro de custo" compact="0" outline="0" multipleItemSelectionAllowed="1" showAll="0">
      <items>
        <item x="0"/>
        <item x="1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73.xml><?xml version="1.0" encoding="utf-8"?>
<pivotTableDefinition xmlns="http://schemas.openxmlformats.org/spreadsheetml/2006/main" name="Agosto23" cacheId="72" dataCaption="" compact="0" compactData="0">
  <location ref="A107:C114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axis="axisRow" compact="0" outline="0" multipleItemSelectionAllowed="1" showAll="0" sortType="ascending">
      <items>
        <item x="4"/>
        <item x="0"/>
        <item x="3"/>
        <item x="1"/>
        <item x="2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74.xml><?xml version="1.0" encoding="utf-8"?>
<pivotTableDefinition xmlns="http://schemas.openxmlformats.org/spreadsheetml/2006/main" name="Agosto23 2" cacheId="73" dataCaption="" compact="0" compactData="0">
  <location ref="A116:C12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75.xml><?xml version="1.0" encoding="utf-8"?>
<pivotTableDefinition xmlns="http://schemas.openxmlformats.org/spreadsheetml/2006/main" name="Agosto23 3" cacheId="74" dataCaption="" compact="0" compactData="0">
  <location ref="A126:B151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76.xml><?xml version="1.0" encoding="utf-8"?>
<pivotTableDefinition xmlns="http://schemas.openxmlformats.org/spreadsheetml/2006/main" name="julho23" cacheId="75" dataCaption="" compact="0" compactData="0">
  <location ref="A119:C126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axis="axisRow" compact="0" outline="0" multipleItemSelectionAllowed="1" showAll="0" sortType="ascending">
      <items>
        <item x="4"/>
        <item x="0"/>
        <item x="3"/>
        <item x="1"/>
        <item x="2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77.xml><?xml version="1.0" encoding="utf-8"?>
<pivotTableDefinition xmlns="http://schemas.openxmlformats.org/spreadsheetml/2006/main" name="julho23 2" cacheId="76" dataCaption="" compact="0" compactData="0">
  <location ref="A128:C134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78.xml><?xml version="1.0" encoding="utf-8"?>
<pivotTableDefinition xmlns="http://schemas.openxmlformats.org/spreadsheetml/2006/main" name="julho23 3" cacheId="77" dataCaption="" compact="0" compactData="0">
  <location ref="A138:B165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79.xml><?xml version="1.0" encoding="utf-8"?>
<pivotTableDefinition xmlns="http://schemas.openxmlformats.org/spreadsheetml/2006/main" name="junho23" cacheId="78" dataCaption="" compact="0" compactData="0">
  <location ref="A107:C114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axis="axisRow" compact="0" outline="0" multipleItemSelectionAllowed="1" showAll="0" sortType="ascending">
      <items>
        <item x="4"/>
        <item x="0"/>
        <item x="3"/>
        <item x="1"/>
        <item x="2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80.xml><?xml version="1.0" encoding="utf-8"?>
<pivotTableDefinition xmlns="http://schemas.openxmlformats.org/spreadsheetml/2006/main" name="junho23 2" cacheId="79" dataCaption="" compact="0" compactData="0">
  <location ref="A116:C12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81.xml><?xml version="1.0" encoding="utf-8"?>
<pivotTableDefinition xmlns="http://schemas.openxmlformats.org/spreadsheetml/2006/main" name="junho23 3" cacheId="80" dataCaption="" compact="0" compactData="0">
  <location ref="A126:B153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82.xml><?xml version="1.0" encoding="utf-8"?>
<pivotTableDefinition xmlns="http://schemas.openxmlformats.org/spreadsheetml/2006/main" name="maio23" cacheId="81" dataCaption="" compact="0" compactData="0">
  <location ref="A75:C82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orma de pagamento" axis="axisRow" compact="0" outline="0" multipleItemSelectionAllowed="1" showAll="0" sortType="ascending">
      <items>
        <item x="4"/>
        <item x="0"/>
        <item x="3"/>
        <item x="1"/>
        <item x="2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83.xml><?xml version="1.0" encoding="utf-8"?>
<pivotTableDefinition xmlns="http://schemas.openxmlformats.org/spreadsheetml/2006/main" name="maio23 2" cacheId="82" dataCaption="" compact="0" compactData="0">
  <location ref="A84:C90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84.xml><?xml version="1.0" encoding="utf-8"?>
<pivotTableDefinition xmlns="http://schemas.openxmlformats.org/spreadsheetml/2006/main" name="maio23 3" cacheId="83" dataCaption="" compact="0" compactData="0">
  <location ref="A94:B118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85.xml><?xml version="1.0" encoding="utf-8"?>
<pivotTableDefinition xmlns="http://schemas.openxmlformats.org/spreadsheetml/2006/main" name="abril23" cacheId="84" dataCaption="" compact="0" compactData="0">
  <location ref="A62:C69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orma de pagamento" axis="axisRow" compact="0" outline="0" multipleItemSelectionAllowed="1" showAll="0" sortType="ascending">
      <items>
        <item x="4"/>
        <item x="0"/>
        <item x="3"/>
        <item x="1"/>
        <item x="2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86.xml><?xml version="1.0" encoding="utf-8"?>
<pivotTableDefinition xmlns="http://schemas.openxmlformats.org/spreadsheetml/2006/main" name="abril23 2" cacheId="85" dataCaption="" compact="0" compactData="0">
  <location ref="A71:C77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87.xml><?xml version="1.0" encoding="utf-8"?>
<pivotTableDefinition xmlns="http://schemas.openxmlformats.org/spreadsheetml/2006/main" name="abril23 3" cacheId="86" dataCaption="" compact="0" compactData="0">
  <location ref="A81:B104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88.xml><?xml version="1.0" encoding="utf-8"?>
<pivotTableDefinition xmlns="http://schemas.openxmlformats.org/spreadsheetml/2006/main" name="marco23" cacheId="87" dataCaption="" compact="0" compactData="0">
  <location ref="A77:C84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orma de pagamento" axis="axisRow" compact="0" outline="0" multipleItemSelectionAllowed="1" showAll="0" sortType="ascending">
      <items>
        <item x="4"/>
        <item x="0"/>
        <item x="3"/>
        <item x="1"/>
        <item x="2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89.xml><?xml version="1.0" encoding="utf-8"?>
<pivotTableDefinition xmlns="http://schemas.openxmlformats.org/spreadsheetml/2006/main" name="marco23 2" cacheId="88" dataCaption="" compact="0" compactData="0">
  <location ref="A86:C95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2"/>
        <item x="0"/>
        <item x="4"/>
        <item x="1"/>
        <item x="5"/>
        <item x="6"/>
        <item x="7"/>
        <item x="3"/>
        <item t="default"/>
      </items>
    </pivotField>
    <pivotField name="centro de cus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90.xml><?xml version="1.0" encoding="utf-8"?>
<pivotTableDefinition xmlns="http://schemas.openxmlformats.org/spreadsheetml/2006/main" name="marco23 3" cacheId="89" dataCaption="" compact="0" compactData="0">
  <location ref="A96:B120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itu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entro de cus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91.xml><?xml version="1.0" encoding="utf-8"?>
<pivotTableDefinition xmlns="http://schemas.openxmlformats.org/spreadsheetml/2006/main" name="fevereiro23" cacheId="90" dataCaption="" compact="0" compactData="0">
  <location ref="A62:C69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5"/>
        <item x="0"/>
        <item x="3"/>
        <item x="1"/>
        <item x="2"/>
        <item x="4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92.xml><?xml version="1.0" encoding="utf-8"?>
<pivotTableDefinition xmlns="http://schemas.openxmlformats.org/spreadsheetml/2006/main" name="fevereiro23 2" cacheId="91" dataCaption="" compact="0" compactData="0">
  <location ref="A71:C80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axis="axisRow" compact="0" outline="0" multipleItemSelectionAllowed="1" showAll="0" sortType="ascending">
      <items>
        <item x="7"/>
        <item x="0"/>
        <item x="3"/>
        <item x="1"/>
        <item x="5"/>
        <item x="4"/>
        <item x="6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93.xml><?xml version="1.0" encoding="utf-8"?>
<pivotTableDefinition xmlns="http://schemas.openxmlformats.org/spreadsheetml/2006/main" name="fevereiro23 3" cacheId="92" dataCaption="" compact="0" compactData="0">
  <location ref="A81:B103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entro de cus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94.xml><?xml version="1.0" encoding="utf-8"?>
<pivotTableDefinition xmlns="http://schemas.openxmlformats.org/spreadsheetml/2006/main" name="Janeiro23" cacheId="93" dataCaption="" compact="0" compactData="0">
  <location ref="A32:C37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t="default"/>
      </items>
    </pivotField>
    <pivotField name="outcome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95.xml><?xml version="1.0" encoding="utf-8"?>
<pivotTableDefinition xmlns="http://schemas.openxmlformats.org/spreadsheetml/2006/main" name="Janeiro23 2" cacheId="94" dataCaption="" compact="0" compactData="0">
  <location ref="A41:C47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t="default"/>
      </items>
    </pivotField>
    <pivotField name="outcome" compact="0" outline="0" multipleItemSelectionAllowed="1" showAll="0">
      <items>
        <item x="0"/>
        <item x="1"/>
        <item x="2"/>
        <item t="default"/>
      </items>
    </pivotField>
    <pivotField name="subclassificacao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96.xml><?xml version="1.0" encoding="utf-8"?>
<pivotTableDefinition xmlns="http://schemas.openxmlformats.org/spreadsheetml/2006/main" name="Janeiro23 3" cacheId="95" dataCaption="" compact="0" compactData="0">
  <location ref="A51:B69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ituacao" compact="0" outline="0" multipleItemSelectionAllowed="1" showAll="0">
      <items>
        <item x="0"/>
        <item x="1"/>
        <item x="2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t="default"/>
      </items>
    </pivotField>
    <pivotField name="outcome" compact="0" outline="0" multipleItemSelectionAllowed="1" showAll="0">
      <items>
        <item x="0"/>
        <item x="1"/>
        <item x="2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entro de custo" compact="0" outline="0" multipleItemSelectionAllowed="1" showAll="0">
      <items>
        <item x="0"/>
        <item x="1"/>
        <item x="2"/>
        <item x="3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pivotTables/pivotTable97.xml><?xml version="1.0" encoding="utf-8"?>
<pivotTableDefinition xmlns="http://schemas.openxmlformats.org/spreadsheetml/2006/main" name="setembro22" cacheId="96" dataCaption="" compact="0" compactData="0">
  <location ref="A77:C84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situacao" compact="0" outline="0" multipleItemSelectionAllowed="1" showAll="0">
      <items>
        <item x="0"/>
        <item x="1"/>
        <item t="default"/>
      </items>
    </pivotField>
    <pivotField name="forma de pagamento" axis="axisRow" compact="0" outline="0" multipleItemSelectionAllowed="1" showAll="0" sortType="ascending">
      <items>
        <item x="0"/>
        <item x="3"/>
        <item x="4"/>
        <item x="1"/>
        <item x="2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utcome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98.xml><?xml version="1.0" encoding="utf-8"?>
<pivotTableDefinition xmlns="http://schemas.openxmlformats.org/spreadsheetml/2006/main" name="setembro22 2" cacheId="97" dataCaption="" compact="0" compactData="0">
  <location ref="A86:C94" firstHeaderRow="0" firstDataRow="2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situacao" compact="0" outline="0" multipleItemSelectionAllowed="1" showAll="0">
      <items>
        <item x="0"/>
        <item x="1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utcome" compact="0" outline="0" multipleItemSelectionAllowed="1" showAll="0">
      <items>
        <item x="0"/>
        <item x="1"/>
        <item x="2"/>
        <item t="default"/>
      </items>
    </pivotField>
    <pivotField name="subclassificacao" axis="axisRow" compact="0" outline="0" multipleItemSelectionAllowed="1" showAll="0" sortType="ascending">
      <items>
        <item x="0"/>
        <item x="3"/>
        <item x="1"/>
        <item x="5"/>
        <item x="4"/>
        <item x="6"/>
        <item x="2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valor" fld="2" baseField="0"/>
    <dataField name="SUM of valor" fld="2" showDataAs="percentOfCol" baseField="0" numFmtId="10"/>
  </dataFields>
</pivotTableDefinition>
</file>

<file path=xl/pivotTables/pivotTable99.xml><?xml version="1.0" encoding="utf-8"?>
<pivotTableDefinition xmlns="http://schemas.openxmlformats.org/spreadsheetml/2006/main" name="setembro22 3" cacheId="98" dataCaption="" compact="0" compactData="0">
  <location ref="A96:B127" firstHeaderRow="0" firstDataRow="1" firstDataCol="0"/>
  <pivotFields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situacao" compact="0" outline="0" multipleItemSelectionAllowed="1" showAll="0">
      <items>
        <item x="0"/>
        <item x="1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nefici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utcome" compact="0" outline="0" multipleItemSelectionAllowed="1" showAll="0">
      <items>
        <item x="0"/>
        <item x="1"/>
        <item x="2"/>
        <item t="default"/>
      </items>
    </pivotField>
    <pivotField name="subclassificaca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entro de custo" compact="0" outline="0" multipleItemSelectionAllowed="1" showAll="0">
      <items>
        <item x="0"/>
        <item x="1"/>
        <item x="2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dataFields>
    <dataField name="SUM of valor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pivotTable" Target="../pivotTables/pivotTable9.xm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pivotTable" Target="../pivotTables/pivotTable11.xml"/><Relationship Id="rId3" Type="http://schemas.openxmlformats.org/officeDocument/2006/relationships/pivotTable" Target="../pivotTables/pivotTable12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pivotTable" Target="../pivotTables/pivotTable14.xml"/><Relationship Id="rId3" Type="http://schemas.openxmlformats.org/officeDocument/2006/relationships/pivotTable" Target="../pivotTables/pivotTable15.xm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pivotTable" Target="../pivotTables/pivotTable17.xml"/><Relationship Id="rId3" Type="http://schemas.openxmlformats.org/officeDocument/2006/relationships/pivotTable" Target="../pivotTables/pivotTable18.xm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9.xml"/><Relationship Id="rId2" Type="http://schemas.openxmlformats.org/officeDocument/2006/relationships/pivotTable" Target="../pivotTables/pivotTable20.xml"/><Relationship Id="rId3" Type="http://schemas.openxmlformats.org/officeDocument/2006/relationships/pivotTable" Target="../pivotTables/pivotTable21.xml"/><Relationship Id="rId4" Type="http://schemas.openxmlformats.org/officeDocument/2006/relationships/hyperlink" Target="http://cults3d.com/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pivotTable" Target="../pivotTables/pivotTable23.xml"/><Relationship Id="rId3" Type="http://schemas.openxmlformats.org/officeDocument/2006/relationships/pivotTable" Target="../pivotTables/pivotTable24.xm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5.xml"/><Relationship Id="rId2" Type="http://schemas.openxmlformats.org/officeDocument/2006/relationships/pivotTable" Target="../pivotTables/pivotTable26.xml"/><Relationship Id="rId3" Type="http://schemas.openxmlformats.org/officeDocument/2006/relationships/pivotTable" Target="../pivotTables/pivotTable27.xm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8.xml"/><Relationship Id="rId2" Type="http://schemas.openxmlformats.org/officeDocument/2006/relationships/pivotTable" Target="../pivotTables/pivotTable29.xml"/><Relationship Id="rId3" Type="http://schemas.openxmlformats.org/officeDocument/2006/relationships/pivotTable" Target="../pivotTables/pivotTable30.xm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1.xml"/><Relationship Id="rId2" Type="http://schemas.openxmlformats.org/officeDocument/2006/relationships/pivotTable" Target="../pivotTables/pivotTable32.xml"/><Relationship Id="rId3" Type="http://schemas.openxmlformats.org/officeDocument/2006/relationships/pivotTable" Target="../pivotTables/pivotTable33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4.xml"/><Relationship Id="rId2" Type="http://schemas.openxmlformats.org/officeDocument/2006/relationships/pivotTable" Target="../pivotTables/pivotTable35.xml"/><Relationship Id="rId3" Type="http://schemas.openxmlformats.org/officeDocument/2006/relationships/pivotTable" Target="../pivotTables/pivotTable36.xm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7.xml"/><Relationship Id="rId2" Type="http://schemas.openxmlformats.org/officeDocument/2006/relationships/pivotTable" Target="../pivotTables/pivotTable38.xml"/><Relationship Id="rId3" Type="http://schemas.openxmlformats.org/officeDocument/2006/relationships/pivotTable" Target="../pivotTables/pivotTable39.xm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0.xml"/><Relationship Id="rId2" Type="http://schemas.openxmlformats.org/officeDocument/2006/relationships/pivotTable" Target="../pivotTables/pivotTable41.xml"/><Relationship Id="rId3" Type="http://schemas.openxmlformats.org/officeDocument/2006/relationships/pivotTable" Target="../pivotTables/pivotTable42.xm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3.xml"/><Relationship Id="rId2" Type="http://schemas.openxmlformats.org/officeDocument/2006/relationships/pivotTable" Target="../pivotTables/pivotTable44.xml"/><Relationship Id="rId3" Type="http://schemas.openxmlformats.org/officeDocument/2006/relationships/pivotTable" Target="../pivotTables/pivotTable45.xm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6.xml"/><Relationship Id="rId2" Type="http://schemas.openxmlformats.org/officeDocument/2006/relationships/pivotTable" Target="../pivotTables/pivotTable47.xml"/><Relationship Id="rId3" Type="http://schemas.openxmlformats.org/officeDocument/2006/relationships/pivotTable" Target="../pivotTables/pivotTable48.xml"/><Relationship Id="rId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9.xml"/><Relationship Id="rId2" Type="http://schemas.openxmlformats.org/officeDocument/2006/relationships/pivotTable" Target="../pivotTables/pivotTable50.xml"/><Relationship Id="rId3" Type="http://schemas.openxmlformats.org/officeDocument/2006/relationships/pivotTable" Target="../pivotTables/pivotTable51.xm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2.xml"/><Relationship Id="rId2" Type="http://schemas.openxmlformats.org/officeDocument/2006/relationships/pivotTable" Target="../pivotTables/pivotTable53.xml"/><Relationship Id="rId3" Type="http://schemas.openxmlformats.org/officeDocument/2006/relationships/pivotTable" Target="../pivotTables/pivotTable54.xm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5.xml"/><Relationship Id="rId2" Type="http://schemas.openxmlformats.org/officeDocument/2006/relationships/pivotTable" Target="../pivotTables/pivotTable56.xml"/><Relationship Id="rId3" Type="http://schemas.openxmlformats.org/officeDocument/2006/relationships/pivotTable" Target="../pivotTables/pivotTable57.xml"/><Relationship Id="rId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8.xml"/><Relationship Id="rId2" Type="http://schemas.openxmlformats.org/officeDocument/2006/relationships/pivotTable" Target="../pivotTables/pivotTable59.xml"/><Relationship Id="rId3" Type="http://schemas.openxmlformats.org/officeDocument/2006/relationships/pivotTable" Target="../pivotTables/pivotTable60.xml"/><Relationship Id="rId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1.xml"/><Relationship Id="rId2" Type="http://schemas.openxmlformats.org/officeDocument/2006/relationships/pivotTable" Target="../pivotTables/pivotTable62.xml"/><Relationship Id="rId3" Type="http://schemas.openxmlformats.org/officeDocument/2006/relationships/pivotTable" Target="../pivotTables/pivotTable63.xml"/><Relationship Id="rId4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4.xml"/><Relationship Id="rId2" Type="http://schemas.openxmlformats.org/officeDocument/2006/relationships/pivotTable" Target="../pivotTables/pivotTable65.xml"/><Relationship Id="rId3" Type="http://schemas.openxmlformats.org/officeDocument/2006/relationships/pivotTable" Target="../pivotTables/pivotTable66.xml"/><Relationship Id="rId4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7.xml"/><Relationship Id="rId2" Type="http://schemas.openxmlformats.org/officeDocument/2006/relationships/pivotTable" Target="../pivotTables/pivotTable68.xml"/><Relationship Id="rId3" Type="http://schemas.openxmlformats.org/officeDocument/2006/relationships/pivotTable" Target="../pivotTables/pivotTable69.xml"/><Relationship Id="rId4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0.xml"/><Relationship Id="rId2" Type="http://schemas.openxmlformats.org/officeDocument/2006/relationships/pivotTable" Target="../pivotTables/pivotTable71.xml"/><Relationship Id="rId3" Type="http://schemas.openxmlformats.org/officeDocument/2006/relationships/pivotTable" Target="../pivotTables/pivotTable72.xml"/><Relationship Id="rId4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3.xml"/><Relationship Id="rId2" Type="http://schemas.openxmlformats.org/officeDocument/2006/relationships/pivotTable" Target="../pivotTables/pivotTable74.xml"/><Relationship Id="rId3" Type="http://schemas.openxmlformats.org/officeDocument/2006/relationships/pivotTable" Target="../pivotTables/pivotTable75.xml"/><Relationship Id="rId4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6.xml"/><Relationship Id="rId2" Type="http://schemas.openxmlformats.org/officeDocument/2006/relationships/pivotTable" Target="../pivotTables/pivotTable77.xml"/><Relationship Id="rId3" Type="http://schemas.openxmlformats.org/officeDocument/2006/relationships/pivotTable" Target="../pivotTables/pivotTable78.xml"/><Relationship Id="rId4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9.xml"/><Relationship Id="rId2" Type="http://schemas.openxmlformats.org/officeDocument/2006/relationships/pivotTable" Target="../pivotTables/pivotTable80.xml"/><Relationship Id="rId3" Type="http://schemas.openxmlformats.org/officeDocument/2006/relationships/pivotTable" Target="../pivotTables/pivotTable81.xml"/><Relationship Id="rId4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2.xml"/><Relationship Id="rId2" Type="http://schemas.openxmlformats.org/officeDocument/2006/relationships/pivotTable" Target="../pivotTables/pivotTable83.xml"/><Relationship Id="rId3" Type="http://schemas.openxmlformats.org/officeDocument/2006/relationships/pivotTable" Target="../pivotTables/pivotTable84.xml"/><Relationship Id="rId4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5.xml"/><Relationship Id="rId2" Type="http://schemas.openxmlformats.org/officeDocument/2006/relationships/pivotTable" Target="../pivotTables/pivotTable86.xml"/><Relationship Id="rId3" Type="http://schemas.openxmlformats.org/officeDocument/2006/relationships/pivotTable" Target="../pivotTables/pivotTable87.xml"/><Relationship Id="rId4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8.xml"/><Relationship Id="rId2" Type="http://schemas.openxmlformats.org/officeDocument/2006/relationships/pivotTable" Target="../pivotTables/pivotTable89.xml"/><Relationship Id="rId3" Type="http://schemas.openxmlformats.org/officeDocument/2006/relationships/pivotTable" Target="../pivotTables/pivotTable90.xml"/><Relationship Id="rId4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1.xml"/><Relationship Id="rId2" Type="http://schemas.openxmlformats.org/officeDocument/2006/relationships/pivotTable" Target="../pivotTables/pivotTable92.xml"/><Relationship Id="rId3" Type="http://schemas.openxmlformats.org/officeDocument/2006/relationships/pivotTable" Target="../pivotTables/pivotTable93.xml"/><Relationship Id="rId4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4.xml"/><Relationship Id="rId2" Type="http://schemas.openxmlformats.org/officeDocument/2006/relationships/pivotTable" Target="../pivotTables/pivotTable95.xml"/><Relationship Id="rId3" Type="http://schemas.openxmlformats.org/officeDocument/2006/relationships/pivotTable" Target="../pivotTables/pivotTable96.xml"/><Relationship Id="rId4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7.xml"/><Relationship Id="rId2" Type="http://schemas.openxmlformats.org/officeDocument/2006/relationships/pivotTable" Target="../pivotTables/pivotTable98.xml"/><Relationship Id="rId3" Type="http://schemas.openxmlformats.org/officeDocument/2006/relationships/pivotTable" Target="../pivotTables/pivotTable99.xml"/><Relationship Id="rId4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0"/>
    <col customWidth="1" min="28" max="29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>
        <v>45315.0</v>
      </c>
      <c r="O1" s="3">
        <v>45340.0</v>
      </c>
      <c r="P1" s="3">
        <v>45369.0</v>
      </c>
      <c r="Q1" s="3">
        <v>45400.0</v>
      </c>
      <c r="R1" s="3">
        <v>45430.0</v>
      </c>
      <c r="S1" s="3">
        <v>45461.0</v>
      </c>
      <c r="T1" s="3">
        <v>45545.0</v>
      </c>
      <c r="U1" s="3">
        <v>45682.0</v>
      </c>
      <c r="V1" s="4">
        <v>45713.0</v>
      </c>
      <c r="W1" s="4">
        <v>45741.0</v>
      </c>
      <c r="X1" s="4">
        <v>45772.0</v>
      </c>
      <c r="Y1" s="4">
        <v>45802.0</v>
      </c>
      <c r="Z1" s="4">
        <v>45833.0</v>
      </c>
      <c r="AA1" s="4">
        <v>45863.0</v>
      </c>
      <c r="AB1" s="5">
        <v>45894.0</v>
      </c>
      <c r="AC1" s="6" t="s">
        <v>13</v>
      </c>
    </row>
    <row r="2">
      <c r="A2" s="7" t="s">
        <v>14</v>
      </c>
      <c r="B2" s="8">
        <f>Janeiro23!B67</f>
        <v>883</v>
      </c>
      <c r="C2" s="8">
        <f>fevereiro23!B102</f>
        <v>2797.99</v>
      </c>
      <c r="D2" s="9">
        <f>ifna(VLOOKUP(A2, marco23!$A$97:$B$119, 2, FALSE),0)</f>
        <v>1593</v>
      </c>
      <c r="E2" s="9">
        <f>ifna(VLOOKUP(A2, abril23!$A$82:$B$103, 2, FALSE),0)</f>
        <v>888</v>
      </c>
      <c r="F2" s="9">
        <f>ifna(VLOOKUP(A2, maio23!$A$95:$B$117, 2, FALSE),0)</f>
        <v>1458.0273</v>
      </c>
      <c r="G2" s="9">
        <f>ifna(VLOOKUP(A2, junho23!$A$127:$B$152, 2, FALSE),0)</f>
        <v>1458.0273</v>
      </c>
      <c r="H2" s="9">
        <f>ifna(VLOOKUP(A2, julho23!$A$139:$B$164, 2, FALSE),0)</f>
        <v>1458.0273</v>
      </c>
      <c r="I2" s="9">
        <f>ifna(VLOOKUP(A2, Agosto23!$A$127:$B$152, 2, FALSE),0)</f>
        <v>1724.0364</v>
      </c>
      <c r="J2" s="9">
        <f>ifna(VLOOKUP(A2, setembro23!$A$125:$B$151, 2, FALSE),0)</f>
        <v>1268</v>
      </c>
      <c r="K2" s="9">
        <f>ifna(VLOOKUP(A2, outubro23!$A$121:$B$146, 2, FALSE),0)</f>
        <v>1652</v>
      </c>
      <c r="L2" s="9">
        <f>ifna(VLOOKUP(A2, novembro23!$A$121:$B$146, 2, FALSE),0)</f>
        <v>1652</v>
      </c>
      <c r="M2" s="9">
        <f>ifna(VLOOKUP(A2, Dezembro23!$A$127:$B$152, 2, FALSE),0)</f>
        <v>2523.5</v>
      </c>
      <c r="N2" s="9">
        <f>ifna(VLOOKUP(A2, janneiro24!$A$127:$B$152, 2, FALSE),0)</f>
        <v>799.49</v>
      </c>
      <c r="O2" s="9">
        <f>ifna(VLOOKUP(A2, fevereiro24!$A$127:$B$152, 2, FALSE),0)</f>
        <v>2459.392752</v>
      </c>
      <c r="P2" s="9">
        <f>ifna(VLOOKUP(A2, marco24!$A$127:$B$152, 2, FALSE),0)</f>
        <v>1808.31</v>
      </c>
      <c r="Q2" s="9">
        <f>ifna(VLOOKUP(A2, abril24!$A$127:$B$152, 2, FALSE),0)</f>
        <v>1808.31</v>
      </c>
      <c r="R2" s="9">
        <f>ifna(VLOOKUP(A2, maio24!$A$127:$B$152, 2, FALSE),0)</f>
        <v>1808.31</v>
      </c>
      <c r="S2" s="9">
        <f>ifna(VLOOKUP(A2, 'jun24'!$A$127:$B$152, 2, FALSE),0)</f>
        <v>1819.3</v>
      </c>
      <c r="T2" s="9">
        <f>ifna(VLOOKUP(A2, 'set24'!$A$127:$B$152, 2, FALSE),0)</f>
        <v>1490.22</v>
      </c>
      <c r="U2" s="9">
        <f>ifna(VLOOKUP(A2, 'jan25'!$A$127:$B$152, 2, FALSE),0)</f>
        <v>1729.94</v>
      </c>
      <c r="V2" s="10">
        <f>ifna(VLOOKUP(A2, 'fev25'!$A$132:$B$157, 2, FALSE),0)</f>
        <v>1345.63</v>
      </c>
      <c r="W2" s="10">
        <f>ifna(VLOOKUP(A2, 'mar25'!$A$125:$B$153, 2, FALSE),0)</f>
        <v>1484.78</v>
      </c>
      <c r="X2" s="10">
        <f>ifna(VLOOKUP(A2, 'abr25'!$A$131:$B$157, 2, FALSE),0)</f>
        <v>1474</v>
      </c>
      <c r="Y2" s="10">
        <f>ifna(VLOOKUP(A2, 'mai25'!$A$142:$B$174, 2, FALSE),0)</f>
        <v>1474</v>
      </c>
      <c r="Z2" s="10">
        <f>ifna(VLOOKUP(A2, 'jun25'!$A$141:$B$169, 2, FALSE),0)</f>
        <v>1474.78</v>
      </c>
      <c r="AA2" s="10">
        <f>ifna(VLOOKUP(A2, 'jul25'!$A$141:$B$170, 2, FALSE),0)</f>
        <v>1639</v>
      </c>
      <c r="AB2" s="10">
        <f>ifna(VLOOKUP(A2, 'ago25'!$A$141:$B$170, 2, FALSE),0)</f>
        <v>1639</v>
      </c>
      <c r="AC2" s="11">
        <f t="shared" ref="AC2:AC37" si="1">AVERAGE(X2:AA2)</f>
        <v>1515.445</v>
      </c>
    </row>
    <row r="3">
      <c r="A3" s="12" t="s">
        <v>15</v>
      </c>
      <c r="B3" s="8">
        <f>Janeiro23!B52</f>
        <v>0</v>
      </c>
      <c r="C3" s="8">
        <f>fevereiro23!B97</f>
        <v>492.99</v>
      </c>
      <c r="D3" s="9">
        <f>ifna(VLOOKUP(A3, marco23!$A$97:$B$119, 2, FALSE),0)</f>
        <v>492.99</v>
      </c>
      <c r="E3" s="9">
        <f>ifna(VLOOKUP(A3, abril23!$A$82:$B$103, 2, FALSE),0)</f>
        <v>1911.33</v>
      </c>
      <c r="F3" s="9">
        <f>ifna(VLOOKUP(A3, maio23!$A$95:$B$117, 2, FALSE),0)</f>
        <v>258.22</v>
      </c>
      <c r="G3" s="9">
        <f>ifna(VLOOKUP(A3, junho23!$A$127:$B$152, 2, FALSE),0)</f>
        <v>238.8</v>
      </c>
      <c r="H3" s="9">
        <f>ifna(VLOOKUP(A3, julho23!$A$139:$B$164, 2, FALSE),0)</f>
        <v>109.99</v>
      </c>
      <c r="I3" s="9">
        <f>ifna(VLOOKUP(A3, Agosto23!$A$127:$B$152, 2, FALSE),0)</f>
        <v>0</v>
      </c>
      <c r="J3" s="9">
        <f>ifna(VLOOKUP(A3, setembro23!$A$125:$B$151, 2, FALSE),0)</f>
        <v>362.95</v>
      </c>
      <c r="K3" s="9">
        <f>ifna(VLOOKUP(A3, outubro23!$A$121:$B$146, 2, FALSE),0)</f>
        <v>224.99</v>
      </c>
      <c r="L3" s="9">
        <f>ifna(VLOOKUP(A3, novembro23!$A$121:$B$146, 2, FALSE),0)</f>
        <v>0</v>
      </c>
      <c r="M3" s="9">
        <f>ifna(VLOOKUP(A3, Dezembro23!$A$127:$B$152, 2, FALSE),0)</f>
        <v>188.9</v>
      </c>
      <c r="N3" s="9">
        <f>ifna(VLOOKUP(A3, janneiro24!$A$127:$B$152, 2, FALSE),0)</f>
        <v>0</v>
      </c>
      <c r="O3" s="9">
        <f>ifna(VLOOKUP(A3, fevereiro24!$A$127:$B$152, 2, FALSE),0)</f>
        <v>0</v>
      </c>
      <c r="P3" s="9">
        <f>ifna(VLOOKUP(A3, marco24!$A$127:$B$152, 2, FALSE),0)</f>
        <v>69</v>
      </c>
      <c r="Q3" s="9">
        <f>ifna(VLOOKUP(A3, abril24!$A$127:$B$152, 2, FALSE),0)</f>
        <v>323.56</v>
      </c>
      <c r="R3" s="9">
        <f>ifna(VLOOKUP(A3, maio24!$A$127:$B$152, 2, FALSE),0)</f>
        <v>49.9</v>
      </c>
      <c r="S3" s="9">
        <f>ifna(VLOOKUP(A3, 'jun24'!$A$127:$B$152, 2, FALSE),0)</f>
        <v>249.84</v>
      </c>
      <c r="T3" s="9">
        <f>ifna(VLOOKUP(A3, 'set24'!$A$127:$B$152, 2, FALSE),0)</f>
        <v>124.79</v>
      </c>
      <c r="U3" s="9">
        <f>ifna(VLOOKUP(A3, 'jan25'!$A$127:$B$152, 2, FALSE),0)</f>
        <v>0</v>
      </c>
      <c r="V3" s="10">
        <f>ifna(VLOOKUP(A3, 'fev25'!$A$132:$B$157, 2, FALSE),0)</f>
        <v>533.59</v>
      </c>
      <c r="W3" s="10">
        <f>ifna(VLOOKUP(A3, 'mar25'!$A$125:$B$153, 2, FALSE),0)</f>
        <v>252.09</v>
      </c>
      <c r="X3" s="10">
        <f>ifna(VLOOKUP(A3, 'abr25'!$A$131:$B$157, 2, FALSE),0)</f>
        <v>937.38</v>
      </c>
      <c r="Y3" s="10">
        <f>ifna(VLOOKUP(A3, 'mai25'!$A$142:$B$174, 2, FALSE),0)</f>
        <v>634.06</v>
      </c>
      <c r="Z3" s="10">
        <f>ifna(VLOOKUP(A3, 'jun25'!$A$141:$B$169, 2, FALSE),0)</f>
        <v>590.17</v>
      </c>
      <c r="AA3" s="10">
        <f>ifna(VLOOKUP(A3, 'jul25'!$A$141:$B$170, 2, FALSE),0)</f>
        <v>1049.91</v>
      </c>
      <c r="AB3" s="10">
        <f>ifna(VLOOKUP(A3, 'ago25'!$A$141:$B$170, 2, FALSE),0)</f>
        <v>389.98</v>
      </c>
      <c r="AC3" s="11">
        <f t="shared" si="1"/>
        <v>802.88</v>
      </c>
    </row>
    <row r="4">
      <c r="A4" s="13" t="s">
        <v>16</v>
      </c>
      <c r="B4" s="8">
        <f>Janeiro23!B53</f>
        <v>37.9</v>
      </c>
      <c r="C4" s="8">
        <f>fevereiro23!B83</f>
        <v>37.9</v>
      </c>
      <c r="D4" s="9">
        <f>ifna(VLOOKUP(A4, marco23!$A$97:$B$119, 2, FALSE),0)</f>
        <v>37.9</v>
      </c>
      <c r="E4" s="9">
        <f>ifna(VLOOKUP(A4, abril23!$A$82:$B$103, 2, FALSE),0)</f>
        <v>37.9</v>
      </c>
      <c r="F4" s="9">
        <f>ifna(VLOOKUP(A4, maio23!$A$95:$B$117, 2, FALSE),0)</f>
        <v>37.9</v>
      </c>
      <c r="G4" s="9">
        <f>ifna(VLOOKUP(A4, junho23!$A$127:$B$152, 2, FALSE),0)</f>
        <v>0</v>
      </c>
      <c r="H4" s="9">
        <f>ifna(VLOOKUP(A4, julho23!$A$139:$B$164, 2, FALSE),0)</f>
        <v>0</v>
      </c>
      <c r="I4" s="9">
        <f>ifna(VLOOKUP(A4, Agosto23!$A$127:$B$152, 2, FALSE),0)</f>
        <v>0</v>
      </c>
      <c r="J4" s="9">
        <f>ifna(VLOOKUP(A4, setembro23!$A$125:$B$151, 2, FALSE),0)</f>
        <v>0</v>
      </c>
      <c r="K4" s="9">
        <f>ifna(VLOOKUP(A4, outubro23!$A$121:$B$146, 2, FALSE),0)</f>
        <v>1326.51</v>
      </c>
      <c r="L4" s="9">
        <f>ifna(VLOOKUP(A4, novembro23!$A$121:$B$146, 2, FALSE),0)</f>
        <v>0</v>
      </c>
      <c r="M4" s="9">
        <f>ifna(VLOOKUP(A4, Dezembro23!$A$127:$B$152, 2, FALSE),0)</f>
        <v>0</v>
      </c>
      <c r="N4" s="9">
        <f>ifna(VLOOKUP(A4, janneiro24!$A$127:$B$152, 2, FALSE),0)</f>
        <v>0</v>
      </c>
      <c r="O4" s="9">
        <f>ifna(VLOOKUP(A4, fevereiro24!$A$127:$B$152, 2, FALSE),0)</f>
        <v>0</v>
      </c>
      <c r="P4" s="9">
        <f>ifna(VLOOKUP(A4, marco24!$A$127:$B$152, 2, FALSE),0)</f>
        <v>0</v>
      </c>
      <c r="Q4" s="9">
        <f>ifna(VLOOKUP(A4, abril24!$A$127:$B$152, 2, FALSE),0)</f>
        <v>0</v>
      </c>
      <c r="R4" s="9">
        <f>ifna(VLOOKUP(A4, maio24!$A$127:$B$152, 2, FALSE),0)</f>
        <v>0</v>
      </c>
      <c r="S4" s="9">
        <f>ifna(VLOOKUP(A4, 'jun24'!$A$127:$B$152, 2, FALSE),0)</f>
        <v>0</v>
      </c>
      <c r="T4" s="9">
        <f>ifna(VLOOKUP(A4, 'set24'!$A$127:$B$152, 2, FALSE),0)</f>
        <v>0</v>
      </c>
      <c r="U4" s="9">
        <f>ifna(VLOOKUP(A4, 'jan25'!$A$127:$B$152, 2, FALSE),0)</f>
        <v>0</v>
      </c>
      <c r="V4" s="10">
        <f>ifna(VLOOKUP(A4, 'fev25'!$A$132:$B$157, 2, FALSE),0)</f>
        <v>0</v>
      </c>
      <c r="W4" s="10">
        <f>ifna(VLOOKUP(A4, 'mar25'!$A$125:$B$153, 2, FALSE),0)</f>
        <v>0</v>
      </c>
      <c r="X4" s="10">
        <f>ifna(VLOOKUP(A4, 'abr25'!$A$131:$B$157, 2, FALSE),0)</f>
        <v>0</v>
      </c>
      <c r="Y4" s="10">
        <f>ifna(VLOOKUP(A4, 'mai25'!$A$142:$B$174, 2, FALSE),0)</f>
        <v>2457.12</v>
      </c>
      <c r="Z4" s="10">
        <f>ifna(VLOOKUP(A4, 'jun25'!$A$141:$B$169, 2, FALSE),0)</f>
        <v>380.12</v>
      </c>
      <c r="AA4" s="10">
        <f>ifna(VLOOKUP(A4, 'jul25'!$A$141:$B$170, 2, FALSE),0)</f>
        <v>380</v>
      </c>
      <c r="AB4" s="10">
        <f>ifna(VLOOKUP(A4, 'ago25'!$A$141:$B$170, 2, FALSE),0)</f>
        <v>380</v>
      </c>
      <c r="AC4" s="11">
        <f t="shared" si="1"/>
        <v>804.31</v>
      </c>
    </row>
    <row r="5">
      <c r="A5" s="7" t="s">
        <v>17</v>
      </c>
      <c r="B5" s="8">
        <f>Janeiro23!B54</f>
        <v>78.65</v>
      </c>
      <c r="C5" s="8">
        <f>fevereiro23!B85</f>
        <v>78.65</v>
      </c>
      <c r="D5" s="9">
        <f>ifna(VLOOKUP(A5, marco23!$A$97:$B$119, 2, FALSE),0)</f>
        <v>78.65</v>
      </c>
      <c r="E5" s="9">
        <f>ifna(VLOOKUP(A5, abril23!$A$82:$B$103, 2, FALSE),0)</f>
        <v>93.55</v>
      </c>
      <c r="F5" s="9">
        <f>ifna(VLOOKUP(A5, maio23!$A$95:$B$117, 2, FALSE),0)</f>
        <v>93.55</v>
      </c>
      <c r="G5" s="9">
        <f>ifna(VLOOKUP(A5, junho23!$A$127:$B$152, 2, FALSE),0)</f>
        <v>93.55</v>
      </c>
      <c r="H5" s="9">
        <f>ifna(VLOOKUP(A5, julho23!$A$139:$B$164, 2, FALSE),0)</f>
        <v>102.14</v>
      </c>
      <c r="I5" s="9">
        <f>ifna(VLOOKUP(A5, Agosto23!$A$127:$B$152, 2, FALSE),0)</f>
        <v>102.14</v>
      </c>
      <c r="J5" s="9">
        <f>ifna(VLOOKUP(A5, setembro23!$A$125:$B$151, 2, FALSE),0)</f>
        <v>102.14</v>
      </c>
      <c r="K5" s="9">
        <f>ifna(VLOOKUP(A5, outubro23!$A$121:$B$146, 2, FALSE),0)</f>
        <v>102.14</v>
      </c>
      <c r="L5" s="9">
        <f>ifna(VLOOKUP(A5, novembro23!$A$121:$B$146, 2, FALSE),0)</f>
        <v>102.14</v>
      </c>
      <c r="M5" s="9">
        <f>ifna(VLOOKUP(A5, Dezembro23!$A$127:$B$152, 2, FALSE),0)</f>
        <v>112.14</v>
      </c>
      <c r="N5" s="9">
        <f>ifna(VLOOKUP(A5, janneiro24!$A$127:$B$152, 2, FALSE),0)</f>
        <v>90.24</v>
      </c>
      <c r="O5" s="9">
        <f>ifna(VLOOKUP(A5, fevereiro24!$A$127:$B$152, 2, FALSE),0)</f>
        <v>90.24</v>
      </c>
      <c r="P5" s="9">
        <f>ifna(VLOOKUP(A5, marco24!$A$127:$B$152, 2, FALSE),0)</f>
        <v>90.24</v>
      </c>
      <c r="Q5" s="9">
        <f>ifna(VLOOKUP(A5, abril24!$A$127:$B$152, 2, FALSE),0)</f>
        <v>90.24</v>
      </c>
      <c r="R5" s="9">
        <f>ifna(VLOOKUP(A5, maio24!$A$127:$B$152, 2, FALSE),0)</f>
        <v>90.24</v>
      </c>
      <c r="S5" s="9">
        <f>ifna(VLOOKUP(A5, 'jun24'!$A$127:$B$152, 2, FALSE),0)</f>
        <v>242</v>
      </c>
      <c r="T5" s="9">
        <f>ifna(VLOOKUP(A5, 'set24'!$A$127:$B$152, 2, FALSE),0)</f>
        <v>82.84</v>
      </c>
      <c r="U5" s="9">
        <f>ifna(VLOOKUP(A5, 'jan25'!$A$127:$B$152, 2, FALSE),0)</f>
        <v>92.84</v>
      </c>
      <c r="V5" s="10">
        <f>ifna(VLOOKUP(A5, 'fev25'!$A$132:$B$157, 2, FALSE),0)</f>
        <v>92.84</v>
      </c>
      <c r="W5" s="10">
        <f>ifna(VLOOKUP(A5, 'mar25'!$A$125:$B$153, 2, FALSE),0)</f>
        <v>92.84</v>
      </c>
      <c r="X5" s="10">
        <f>ifna(VLOOKUP(A5, 'abr25'!$A$131:$B$157, 2, FALSE),0)</f>
        <v>89.75</v>
      </c>
      <c r="Y5" s="10">
        <f>ifna(VLOOKUP(A5, 'mai25'!$A$142:$B$174, 2, FALSE),0)</f>
        <v>89.75</v>
      </c>
      <c r="Z5" s="10">
        <f>ifna(VLOOKUP(A5, 'jun25'!$A$141:$B$169, 2, FALSE),0)</f>
        <v>255.75</v>
      </c>
      <c r="AA5" s="10">
        <f>ifna(VLOOKUP(A5, 'jul25'!$A$141:$B$170, 2, FALSE),0)</f>
        <v>89.75</v>
      </c>
      <c r="AB5" s="10">
        <f>ifna(VLOOKUP(A5, 'ago25'!$A$141:$B$170, 2, FALSE),0)</f>
        <v>89.75</v>
      </c>
      <c r="AC5" s="11">
        <f t="shared" si="1"/>
        <v>131.25</v>
      </c>
    </row>
    <row r="6">
      <c r="A6" s="7" t="s">
        <v>18</v>
      </c>
      <c r="B6" s="8">
        <f>Janeiro23!B55</f>
        <v>85.71</v>
      </c>
      <c r="C6" s="8">
        <f>fevereiro23!B91</f>
        <v>199.85</v>
      </c>
      <c r="D6" s="9">
        <f>ifna(VLOOKUP(A6, marco23!$A$97:$B$119, 2, FALSE),0)</f>
        <v>228.26</v>
      </c>
      <c r="E6" s="9">
        <f>ifna(VLOOKUP(A6, abril23!$A$82:$B$103, 2, FALSE),0)</f>
        <v>250</v>
      </c>
      <c r="F6" s="9">
        <f>ifna(VLOOKUP(A6, maio23!$A$95:$B$117, 2, FALSE),0)</f>
        <v>201.84</v>
      </c>
      <c r="G6" s="9">
        <f>ifna(VLOOKUP(A6, junho23!$A$127:$B$152, 2, FALSE),0)</f>
        <v>431.69</v>
      </c>
      <c r="H6" s="9">
        <f>ifna(VLOOKUP(A6, julho23!$A$139:$B$164, 2, FALSE),0)</f>
        <v>118.08</v>
      </c>
      <c r="I6" s="9">
        <f>ifna(VLOOKUP(A6, Agosto23!$A$127:$B$152, 2, FALSE),0)</f>
        <v>289.23</v>
      </c>
      <c r="J6" s="9">
        <f>ifna(VLOOKUP(A6, setembro23!$A$125:$B$151, 2, FALSE),0)</f>
        <v>251.2</v>
      </c>
      <c r="K6" s="9">
        <f>ifna(VLOOKUP(A6, outubro23!$A$121:$B$146, 2, FALSE),0)</f>
        <v>253.05</v>
      </c>
      <c r="L6" s="9">
        <f>ifna(VLOOKUP(A6, novembro23!$A$121:$B$146, 2, FALSE),0)</f>
        <v>321.44</v>
      </c>
      <c r="M6" s="9">
        <f>ifna(VLOOKUP(A6, Dezembro23!$A$127:$B$152, 2, FALSE),0)</f>
        <v>275.64</v>
      </c>
      <c r="N6" s="9">
        <f>ifna(VLOOKUP(A6, janneiro24!$A$127:$B$152, 2, FALSE),0)</f>
        <v>168.12</v>
      </c>
      <c r="O6" s="9">
        <f>ifna(VLOOKUP(A6, fevereiro24!$A$127:$B$152, 2, FALSE),0)</f>
        <v>168.12</v>
      </c>
      <c r="P6" s="9">
        <f>ifna(VLOOKUP(A6, marco24!$A$127:$B$152, 2, FALSE),0)</f>
        <v>493.4</v>
      </c>
      <c r="Q6" s="9">
        <f>ifna(VLOOKUP(A6, abril24!$A$127:$B$152, 2, FALSE),0)</f>
        <v>433.48</v>
      </c>
      <c r="R6" s="9">
        <f>ifna(VLOOKUP(A6, maio24!$A$127:$B$152, 2, FALSE),0)</f>
        <v>568.77</v>
      </c>
      <c r="S6" s="9">
        <f>ifna(VLOOKUP(A6, 'jun24'!$A$127:$B$152, 2, FALSE),0)</f>
        <v>253.43</v>
      </c>
      <c r="T6" s="9">
        <f>ifna(VLOOKUP(A6, 'set24'!$A$127:$B$152, 2, FALSE),0)</f>
        <v>216.68</v>
      </c>
      <c r="U6" s="9">
        <f>ifna(VLOOKUP(A6, 'jan25'!$A$127:$B$152, 2, FALSE),0)</f>
        <v>0</v>
      </c>
      <c r="V6" s="10">
        <f>ifna(VLOOKUP(A6, 'fev25'!$A$132:$B$157, 2, FALSE),0)</f>
        <v>340.84</v>
      </c>
      <c r="W6" s="10">
        <f>ifna(VLOOKUP(A6, 'mar25'!$A$125:$B$153, 2, FALSE),0)</f>
        <v>280.69</v>
      </c>
      <c r="X6" s="10">
        <f>ifna(VLOOKUP(A6, 'abr25'!$A$131:$B$157, 2, FALSE),0)</f>
        <v>358.38</v>
      </c>
      <c r="Y6" s="10">
        <f>ifna(VLOOKUP(A6, 'mai25'!$A$142:$B$174, 2, FALSE),0)</f>
        <v>334.45</v>
      </c>
      <c r="Z6" s="10">
        <f>ifna(VLOOKUP(A6, 'jun25'!$A$141:$B$169, 2, FALSE),0)</f>
        <v>365.93</v>
      </c>
      <c r="AA6" s="10">
        <f>ifna(VLOOKUP(A6, 'jul25'!$A$141:$B$170, 2, FALSE),0)</f>
        <v>382.92</v>
      </c>
      <c r="AB6" s="10">
        <f>ifna(VLOOKUP(A6, 'ago25'!$A$141:$B$170, 2, FALSE),0)</f>
        <v>301.94</v>
      </c>
      <c r="AC6" s="11">
        <f t="shared" si="1"/>
        <v>360.42</v>
      </c>
    </row>
    <row r="7">
      <c r="A7" s="7" t="s">
        <v>19</v>
      </c>
      <c r="B7" s="8">
        <f>Janeiro23!B56</f>
        <v>89.9</v>
      </c>
      <c r="C7" s="8">
        <f>fevereiro23!B86</f>
        <v>89.9</v>
      </c>
      <c r="D7" s="9">
        <f>ifna(VLOOKUP(A7, marco23!$A$97:$B$119, 2, FALSE),0)</f>
        <v>89.9</v>
      </c>
      <c r="E7" s="9">
        <f>ifna(VLOOKUP(A7, abril23!$A$82:$B$103, 2, FALSE),0)</f>
        <v>89.9</v>
      </c>
      <c r="F7" s="9">
        <f>ifna(VLOOKUP(A7, maio23!$A$95:$B$117, 2, FALSE),0)</f>
        <v>89.9</v>
      </c>
      <c r="G7" s="9">
        <f>ifna(VLOOKUP(A7, junho23!$A$127:$B$152, 2, FALSE),0)</f>
        <v>89.9</v>
      </c>
      <c r="H7" s="9">
        <f>ifna(VLOOKUP(A7, julho23!$A$139:$B$164, 2, FALSE),0)</f>
        <v>89.9</v>
      </c>
      <c r="I7" s="9">
        <f>ifna(VLOOKUP(A7, Agosto23!$A$127:$B$152, 2, FALSE),0)</f>
        <v>89.9</v>
      </c>
      <c r="J7" s="9">
        <f>ifna(VLOOKUP(A7, setembro23!$A$125:$B$151, 2, FALSE),0)</f>
        <v>89.9</v>
      </c>
      <c r="K7" s="9">
        <f>ifna(VLOOKUP(A7, outubro23!$A$121:$B$146, 2, FALSE),0)</f>
        <v>89.9</v>
      </c>
      <c r="L7" s="9">
        <f>ifna(VLOOKUP(A7, novembro23!$A$121:$B$146, 2, FALSE),0)</f>
        <v>89.9</v>
      </c>
      <c r="M7" s="9">
        <f>ifna(VLOOKUP(A7, Dezembro23!$A$127:$B$152, 2, FALSE),0)</f>
        <v>89.9</v>
      </c>
      <c r="N7" s="9">
        <f>ifna(VLOOKUP(A7, janneiro24!$A$127:$B$152, 2, FALSE),0)</f>
        <v>100</v>
      </c>
      <c r="O7" s="9">
        <f>ifna(VLOOKUP(A7, fevereiro24!$A$127:$B$152, 2, FALSE),0)</f>
        <v>89.9</v>
      </c>
      <c r="P7" s="9">
        <f>ifna(VLOOKUP(A7, marco24!$A$127:$B$152, 2, FALSE),0)</f>
        <v>100.46</v>
      </c>
      <c r="Q7" s="9">
        <f>ifna(VLOOKUP(A7, abril24!$A$127:$B$152, 2, FALSE),0)</f>
        <v>100.46</v>
      </c>
      <c r="R7" s="9">
        <f>ifna(VLOOKUP(A7, maio24!$A$127:$B$152, 2, FALSE),0)</f>
        <v>100.46</v>
      </c>
      <c r="S7" s="9">
        <f>ifna(VLOOKUP(A7, 'jun24'!$A$127:$B$152, 2, FALSE),0)</f>
        <v>100.46</v>
      </c>
      <c r="T7" s="9">
        <f>ifna(VLOOKUP(A7, 'set24'!$A$127:$B$152, 2, FALSE),0)</f>
        <v>100.46</v>
      </c>
      <c r="U7" s="9">
        <f>ifna(VLOOKUP(A7, 'jan25'!$A$127:$B$152, 2, FALSE),0)</f>
        <v>0</v>
      </c>
      <c r="V7" s="10">
        <f>ifna(VLOOKUP(A7, 'fev25'!$A$132:$B$157, 2, FALSE),0)</f>
        <v>0</v>
      </c>
      <c r="W7" s="10">
        <f>ifna(VLOOKUP(A7, 'mar25'!$A$125:$B$153, 2, FALSE),0)</f>
        <v>0</v>
      </c>
      <c r="X7" s="10">
        <f>ifna(VLOOKUP(A7, 'abr25'!$A$131:$B$157, 2, FALSE),0)</f>
        <v>0</v>
      </c>
      <c r="Y7" s="10">
        <f>ifna(VLOOKUP(A7, 'mai25'!$A$142:$B$174, 2, FALSE),0)</f>
        <v>0</v>
      </c>
      <c r="Z7" s="10">
        <f>ifna(VLOOKUP(A7, 'jun25'!$A$141:$B$169, 2, FALSE),0)</f>
        <v>0</v>
      </c>
      <c r="AA7" s="10">
        <f>ifna(VLOOKUP(A7, 'jul25'!$A$141:$B$170, 2, FALSE),0)</f>
        <v>0</v>
      </c>
      <c r="AB7" s="10">
        <f>ifna(VLOOKUP(A7, 'ago25'!$A$141:$B$170, 2, FALSE),0)</f>
        <v>0</v>
      </c>
      <c r="AC7" s="11">
        <f t="shared" si="1"/>
        <v>0</v>
      </c>
    </row>
    <row r="8">
      <c r="A8" s="12" t="s">
        <v>20</v>
      </c>
      <c r="B8" s="8">
        <f>Janeiro23!B57</f>
        <v>92</v>
      </c>
      <c r="C8" s="14">
        <f>0</f>
        <v>0</v>
      </c>
      <c r="D8" s="9">
        <f>ifna(VLOOKUP(A8, marco23!$A$97:$B$119, 2, FALSE),0)</f>
        <v>0</v>
      </c>
      <c r="E8" s="9">
        <f>ifna(VLOOKUP(A8, abril23!$A$82:$B$103, 2, FALSE),0)</f>
        <v>0</v>
      </c>
      <c r="F8" s="9">
        <f>ifna(VLOOKUP(A8, maio23!$A$95:$B$117, 2, FALSE),0)</f>
        <v>0</v>
      </c>
      <c r="G8" s="9">
        <f>ifna(VLOOKUP(A8, junho23!$A$127:$B$152, 2, FALSE),0)</f>
        <v>0</v>
      </c>
      <c r="H8" s="9">
        <f>ifna(VLOOKUP(A8, julho23!$A$139:$B$164, 2, FALSE),0)</f>
        <v>0</v>
      </c>
      <c r="I8" s="9">
        <f>ifna(VLOOKUP(A8, Agosto23!$A$127:$B$152, 2, FALSE),0)</f>
        <v>0</v>
      </c>
      <c r="J8" s="9">
        <f>ifna(VLOOKUP(A8, setembro23!$A$125:$B$151, 2, FALSE),0)</f>
        <v>0</v>
      </c>
      <c r="K8" s="9">
        <f>ifna(VLOOKUP(A8, outubro23!$A$121:$B$146, 2, FALSE),0)</f>
        <v>36</v>
      </c>
      <c r="L8" s="9">
        <f>ifna(VLOOKUP(A8, novembro23!$A$121:$B$146, 2, FALSE),0)</f>
        <v>17</v>
      </c>
      <c r="M8" s="9">
        <f>ifna(VLOOKUP(A8, Dezembro23!$A$127:$B$152, 2, FALSE),0)</f>
        <v>25</v>
      </c>
      <c r="N8" s="9">
        <f>ifna(VLOOKUP(A8, janneiro24!$A$127:$B$152, 2, FALSE),0)</f>
        <v>0</v>
      </c>
      <c r="O8" s="9">
        <f>ifna(VLOOKUP(A8, fevereiro24!$A$127:$B$152, 2, FALSE),0)</f>
        <v>0</v>
      </c>
      <c r="P8" s="9">
        <f>ifna(VLOOKUP(A8, marco24!$A$127:$B$152, 2, FALSE),0)</f>
        <v>0</v>
      </c>
      <c r="Q8" s="9">
        <f>ifna(VLOOKUP(A8, abril24!$A$127:$B$152, 2, FALSE),0)</f>
        <v>40</v>
      </c>
      <c r="R8" s="9">
        <f>ifna(VLOOKUP(A8, maio24!$A$127:$B$152, 2, FALSE),0)</f>
        <v>8</v>
      </c>
      <c r="S8" s="9">
        <f>ifna(VLOOKUP(A8, 'jun24'!$A$127:$B$152, 2, FALSE),0)</f>
        <v>0</v>
      </c>
      <c r="T8" s="9">
        <f>ifna(VLOOKUP(A8, 'set24'!$A$127:$B$152, 2, FALSE),0)</f>
        <v>5</v>
      </c>
      <c r="U8" s="9">
        <f>ifna(VLOOKUP(A8, 'jan25'!$A$127:$B$152, 2, FALSE),0)</f>
        <v>0</v>
      </c>
      <c r="V8" s="10">
        <f>ifna(VLOOKUP(A8, 'fev25'!$A$132:$B$157, 2, FALSE),0)</f>
        <v>10</v>
      </c>
      <c r="W8" s="10">
        <f>ifna(VLOOKUP(A8, 'mar25'!$A$125:$B$153, 2, FALSE),0)</f>
        <v>8</v>
      </c>
      <c r="X8" s="10">
        <f>ifna(VLOOKUP(A8, 'abr25'!$A$131:$B$157, 2, FALSE),0)</f>
        <v>16</v>
      </c>
      <c r="Y8" s="10">
        <f>ifna(VLOOKUP(A8, 'mai25'!$A$142:$B$174, 2, FALSE),0)</f>
        <v>46</v>
      </c>
      <c r="Z8" s="10">
        <f>ifna(VLOOKUP(A8, 'jun25'!$A$141:$B$169, 2, FALSE),0)</f>
        <v>27.4</v>
      </c>
      <c r="AA8" s="10">
        <f>ifna(VLOOKUP(A8, 'jul25'!$A$141:$B$170, 2, FALSE),0)</f>
        <v>16</v>
      </c>
      <c r="AB8" s="10">
        <f>ifna(VLOOKUP(A8, 'ago25'!$A$141:$B$170, 2, FALSE),0)</f>
        <v>42</v>
      </c>
      <c r="AC8" s="11">
        <f t="shared" si="1"/>
        <v>26.35</v>
      </c>
    </row>
    <row r="9">
      <c r="A9" s="7" t="s">
        <v>21</v>
      </c>
      <c r="B9" s="8">
        <f>Janeiro23!B58</f>
        <v>99</v>
      </c>
      <c r="C9" s="8">
        <f>fevereiro23!B88</f>
        <v>99</v>
      </c>
      <c r="D9" s="9">
        <f>ifna(VLOOKUP(A9, marco23!$A$97:$B$119, 2, FALSE),0)</f>
        <v>99</v>
      </c>
      <c r="E9" s="9">
        <f>ifna(VLOOKUP(A9, abril23!$A$82:$B$103, 2, FALSE),0)</f>
        <v>88</v>
      </c>
      <c r="F9" s="9">
        <f>ifna(VLOOKUP(A9, maio23!$A$95:$B$117, 2, FALSE),0)</f>
        <v>88</v>
      </c>
      <c r="G9" s="9">
        <f>ifna(VLOOKUP(A9, junho23!$A$127:$B$152, 2, FALSE),0)</f>
        <v>148</v>
      </c>
      <c r="H9" s="9">
        <f>ifna(VLOOKUP(A9, julho23!$A$139:$B$164, 2, FALSE),0)</f>
        <v>88</v>
      </c>
      <c r="I9" s="9">
        <f>ifna(VLOOKUP(A9, Agosto23!$A$127:$B$152, 2, FALSE),0)</f>
        <v>88</v>
      </c>
      <c r="J9" s="9">
        <f>ifna(VLOOKUP(A9, setembro23!$A$125:$B$151, 2, FALSE),0)</f>
        <v>88</v>
      </c>
      <c r="K9" s="9">
        <f>ifna(VLOOKUP(A9, outubro23!$A$121:$B$146, 2, FALSE),0)</f>
        <v>88</v>
      </c>
      <c r="L9" s="9">
        <f>ifna(VLOOKUP(A9, novembro23!$A$121:$B$146, 2, FALSE),0)</f>
        <v>88</v>
      </c>
      <c r="M9" s="9">
        <f>ifna(VLOOKUP(A9, Dezembro23!$A$127:$B$152, 2, FALSE),0)</f>
        <v>138</v>
      </c>
      <c r="N9" s="9">
        <f>ifna(VLOOKUP(A9, janneiro24!$A$127:$B$152, 2, FALSE),0)</f>
        <v>88</v>
      </c>
      <c r="O9" s="9">
        <f>ifna(VLOOKUP(A9, fevereiro24!$A$127:$B$152, 2, FALSE),0)</f>
        <v>88</v>
      </c>
      <c r="P9" s="9">
        <f>ifna(VLOOKUP(A9, marco24!$A$127:$B$152, 2, FALSE),0)</f>
        <v>88</v>
      </c>
      <c r="Q9" s="9">
        <f>ifna(VLOOKUP(A9, abril24!$A$127:$B$152, 2, FALSE),0)</f>
        <v>88</v>
      </c>
      <c r="R9" s="9">
        <f>ifna(VLOOKUP(A9, maio24!$A$127:$B$152, 2, FALSE),0)</f>
        <v>88</v>
      </c>
      <c r="S9" s="9">
        <f>ifna(VLOOKUP(A9, 'jun24'!$A$127:$B$152, 2, FALSE),0)</f>
        <v>88</v>
      </c>
      <c r="T9" s="9">
        <f>ifna(VLOOKUP(A9, 'set24'!$A$127:$B$152, 2, FALSE),0)</f>
        <v>162.3</v>
      </c>
      <c r="U9" s="9">
        <f>ifna(VLOOKUP(A9, 'jan25'!$A$127:$B$152, 2, FALSE),0)</f>
        <v>88</v>
      </c>
      <c r="V9" s="10">
        <f>ifna(VLOOKUP(A9, 'fev25'!$A$132:$B$157, 2, FALSE),0)</f>
        <v>181.1</v>
      </c>
      <c r="W9" s="10">
        <f>ifna(VLOOKUP(A9, 'mar25'!$A$125:$B$153, 2, FALSE),0)</f>
        <v>149.9</v>
      </c>
      <c r="X9" s="10">
        <f>ifna(VLOOKUP(A9, 'abr25'!$A$131:$B$157, 2, FALSE),0)</f>
        <v>149.9</v>
      </c>
      <c r="Y9" s="10">
        <f>ifna(VLOOKUP(A9, 'mai25'!$A$142:$B$174, 2, FALSE),0)</f>
        <v>138</v>
      </c>
      <c r="Z9" s="10">
        <f>ifna(VLOOKUP(A9, 'jun25'!$A$141:$B$169, 2, FALSE),0)</f>
        <v>149.9</v>
      </c>
      <c r="AA9" s="10">
        <f>ifna(VLOOKUP(A9, 'jul25'!$A$141:$B$170, 2, FALSE),0)</f>
        <v>99.9</v>
      </c>
      <c r="AB9" s="10">
        <f>ifna(VLOOKUP(A9, 'ago25'!$A$141:$B$170, 2, FALSE),0)</f>
        <v>99.9</v>
      </c>
      <c r="AC9" s="11">
        <f t="shared" si="1"/>
        <v>134.425</v>
      </c>
    </row>
    <row r="10">
      <c r="A10" s="7" t="s">
        <v>22</v>
      </c>
      <c r="B10" s="8">
        <f>Janeiro23!B59</f>
        <v>104</v>
      </c>
      <c r="C10" s="8">
        <f>fevereiro23!B89</f>
        <v>104</v>
      </c>
      <c r="D10" s="9">
        <f>ifna(VLOOKUP(A10, marco23!$A$97:$B$119, 2, FALSE),0)</f>
        <v>104</v>
      </c>
      <c r="E10" s="9">
        <f>ifna(VLOOKUP(A10, abril23!$A$82:$B$103, 2, FALSE),0)</f>
        <v>119.83</v>
      </c>
      <c r="F10" s="9">
        <f>ifna(VLOOKUP(A10, maio23!$A$95:$B$117, 2, FALSE),0)</f>
        <v>99</v>
      </c>
      <c r="G10" s="9">
        <f>ifna(VLOOKUP(A10, junho23!$A$127:$B$152, 2, FALSE),0)</f>
        <v>99</v>
      </c>
      <c r="H10" s="9">
        <f>ifna(VLOOKUP(A10, julho23!$A$139:$B$164, 2, FALSE),0)</f>
        <v>99</v>
      </c>
      <c r="I10" s="9">
        <f>ifna(VLOOKUP(A10, Agosto23!$A$127:$B$152, 2, FALSE),0)</f>
        <v>99</v>
      </c>
      <c r="J10" s="9">
        <f>ifna(VLOOKUP(A10, setembro23!$A$125:$B$151, 2, FALSE),0)</f>
        <v>99</v>
      </c>
      <c r="K10" s="9">
        <f>ifna(VLOOKUP(A10, outubro23!$A$121:$B$146, 2, FALSE),0)</f>
        <v>99</v>
      </c>
      <c r="L10" s="9">
        <f>ifna(VLOOKUP(A10, novembro23!$A$121:$B$146, 2, FALSE),0)</f>
        <v>99</v>
      </c>
      <c r="M10" s="9">
        <f>ifna(VLOOKUP(A10, Dezembro23!$A$127:$B$152, 2, FALSE),0)</f>
        <v>99</v>
      </c>
      <c r="N10" s="9">
        <f>ifna(VLOOKUP(A10, janneiro24!$A$127:$B$152, 2, FALSE),0)</f>
        <v>129</v>
      </c>
      <c r="O10" s="9">
        <f>ifna(VLOOKUP(A10, fevereiro24!$A$127:$B$152, 2, FALSE),0)</f>
        <v>129</v>
      </c>
      <c r="P10" s="9">
        <f>ifna(VLOOKUP(A10, marco24!$A$127:$B$152, 2, FALSE),0)</f>
        <v>129</v>
      </c>
      <c r="Q10" s="9">
        <f>ifna(VLOOKUP(A10, abril24!$A$127:$B$152, 2, FALSE),0)</f>
        <v>129</v>
      </c>
      <c r="R10" s="9">
        <f>ifna(VLOOKUP(A10, maio24!$A$127:$B$152, 2, FALSE),0)</f>
        <v>129</v>
      </c>
      <c r="S10" s="9">
        <f>ifna(VLOOKUP(A10, 'jun24'!$A$127:$B$152, 2, FALSE),0)</f>
        <v>129</v>
      </c>
      <c r="T10" s="9">
        <f>ifna(VLOOKUP(A10, 'set24'!$A$127:$B$152, 2, FALSE),0)</f>
        <v>1825.42</v>
      </c>
      <c r="U10" s="9">
        <f>ifna(VLOOKUP(A10, 'jan25'!$A$127:$B$152, 2, FALSE),0)</f>
        <v>129</v>
      </c>
      <c r="V10" s="10">
        <f>ifna(VLOOKUP(A10, 'fev25'!$A$132:$B$157, 2, FALSE),0)</f>
        <v>132.72</v>
      </c>
      <c r="W10" s="10">
        <f>ifna(VLOOKUP(A10, 'mar25'!$A$125:$B$153, 2, FALSE),0)</f>
        <v>132.55</v>
      </c>
      <c r="X10" s="10">
        <f>ifna(VLOOKUP(A10, 'abr25'!$A$131:$B$157, 2, FALSE),0)</f>
        <v>132.5</v>
      </c>
      <c r="Y10" s="10">
        <f>ifna(VLOOKUP(A10, 'mai25'!$A$142:$B$174, 2, FALSE),0)</f>
        <v>132.55</v>
      </c>
      <c r="Z10" s="10">
        <f>ifna(VLOOKUP(A10, 'jun25'!$A$141:$B$169, 2, FALSE),0)</f>
        <v>132.76</v>
      </c>
      <c r="AA10" s="10">
        <f>ifna(VLOOKUP(A10, 'jul25'!$A$141:$B$170, 2, FALSE),0)</f>
        <v>132.76</v>
      </c>
      <c r="AB10" s="10">
        <f>ifna(VLOOKUP(A10, 'ago25'!$A$141:$B$170, 2, FALSE),0)</f>
        <v>132.76</v>
      </c>
      <c r="AC10" s="11">
        <f t="shared" si="1"/>
        <v>132.6425</v>
      </c>
    </row>
    <row r="11">
      <c r="A11" s="7" t="s">
        <v>23</v>
      </c>
      <c r="B11" s="8">
        <f>Janeiro23!B60</f>
        <v>109</v>
      </c>
      <c r="C11" s="8">
        <f>fevereiro23!B90</f>
        <v>109</v>
      </c>
      <c r="D11" s="9">
        <f>ifna(VLOOKUP(A11, marco23!$A$97:$B$119, 2, FALSE),0)</f>
        <v>109</v>
      </c>
      <c r="E11" s="9">
        <f>ifna(VLOOKUP(A11, abril23!$A$82:$B$103, 2, FALSE),0)</f>
        <v>109</v>
      </c>
      <c r="F11" s="9">
        <f>ifna(VLOOKUP(A11, maio23!$A$95:$B$117, 2, FALSE),0)</f>
        <v>109</v>
      </c>
      <c r="G11" s="9">
        <f>ifna(VLOOKUP(A11, junho23!$A$127:$B$152, 2, FALSE),0)</f>
        <v>69.9</v>
      </c>
      <c r="H11" s="9">
        <f>ifna(VLOOKUP(A11, julho23!$A$139:$B$164, 2, FALSE),0)</f>
        <v>79.9</v>
      </c>
      <c r="I11" s="9">
        <f>ifna(VLOOKUP(A11, Agosto23!$A$127:$B$152, 2, FALSE),0)</f>
        <v>286.2</v>
      </c>
      <c r="J11" s="9">
        <f>ifna(VLOOKUP(A11, setembro23!$A$125:$B$151, 2, FALSE),0)</f>
        <v>679.8</v>
      </c>
      <c r="K11" s="9">
        <f>ifna(VLOOKUP(A11, outubro23!$A$121:$B$146, 2, FALSE),0)</f>
        <v>679.8</v>
      </c>
      <c r="L11" s="9">
        <f>ifna(VLOOKUP(A11, novembro23!$A$121:$B$146, 2, FALSE),0)</f>
        <v>679.8</v>
      </c>
      <c r="M11" s="9">
        <f>ifna(VLOOKUP(A11, Dezembro23!$A$127:$B$152, 2, FALSE),0)</f>
        <v>679.8</v>
      </c>
      <c r="N11" s="9">
        <f>ifna(VLOOKUP(A11, janneiro24!$A$127:$B$152, 2, FALSE),0)</f>
        <v>679.8</v>
      </c>
      <c r="O11" s="9">
        <f>ifna(VLOOKUP(A11, fevereiro24!$A$127:$B$152, 2, FALSE),0)</f>
        <v>679.8</v>
      </c>
      <c r="P11" s="9">
        <f>ifna(VLOOKUP(A11, marco24!$A$127:$B$152, 2, FALSE),0)</f>
        <v>679.8</v>
      </c>
      <c r="Q11" s="9">
        <f>ifna(VLOOKUP(A11, abril24!$A$127:$B$152, 2, FALSE),0)</f>
        <v>679.8</v>
      </c>
      <c r="R11" s="9">
        <f>ifna(VLOOKUP(A11, maio24!$A$127:$B$152, 2, FALSE),0)</f>
        <v>679.8</v>
      </c>
      <c r="S11" s="9">
        <f>ifna(VLOOKUP(A11, 'jun24'!$A$127:$B$152, 2, FALSE),0)</f>
        <v>679.8</v>
      </c>
      <c r="T11" s="9">
        <f>ifna(VLOOKUP(A11, 'set24'!$A$127:$B$152, 2, FALSE),0)</f>
        <v>695.8</v>
      </c>
      <c r="U11" s="9">
        <f>ifna(VLOOKUP(A11, 'jan25'!$A$127:$B$152, 2, FALSE),0)</f>
        <v>715.8</v>
      </c>
      <c r="V11" s="10">
        <f>ifna(VLOOKUP(A11, 'fev25'!$A$132:$B$157, 2, FALSE),0)</f>
        <v>215.8</v>
      </c>
      <c r="W11" s="10">
        <f>ifna(VLOOKUP(A11, 'mar25'!$A$125:$B$153, 2, FALSE),0)</f>
        <v>215.8</v>
      </c>
      <c r="X11" s="10">
        <f>ifna(VLOOKUP(A11, 'abr25'!$A$131:$B$157, 2, FALSE),0)</f>
        <v>729.8</v>
      </c>
      <c r="Y11" s="10">
        <f>ifna(VLOOKUP(A11, 'mai25'!$A$142:$B$174, 2, FALSE),0)</f>
        <v>729.8</v>
      </c>
      <c r="Z11" s="10">
        <f>ifna(VLOOKUP(A11, 'jun25'!$A$141:$B$169, 2, FALSE),0)</f>
        <v>457.96</v>
      </c>
      <c r="AA11" s="10">
        <f>ifna(VLOOKUP(A11, 'jul25'!$A$141:$B$170, 2, FALSE),0)</f>
        <v>229.8</v>
      </c>
      <c r="AB11" s="10">
        <f>ifna(VLOOKUP(A11, 'ago25'!$A$141:$B$170, 2, FALSE),0)</f>
        <v>229.8</v>
      </c>
      <c r="AC11" s="11">
        <f t="shared" si="1"/>
        <v>536.84</v>
      </c>
    </row>
    <row r="12">
      <c r="A12" s="7" t="s">
        <v>24</v>
      </c>
      <c r="B12" s="8">
        <f>Janeiro23!B61</f>
        <v>116.74</v>
      </c>
      <c r="C12" s="14">
        <f>fevereiro23!B82</f>
        <v>33</v>
      </c>
      <c r="D12" s="9">
        <f>ifna(VLOOKUP(A12, marco23!$A$97:$B$119, 2, FALSE),0)</f>
        <v>34.32</v>
      </c>
      <c r="E12" s="9">
        <f>ifna(VLOOKUP(A12, abril23!$A$82:$B$103, 2, FALSE),0)</f>
        <v>59.24</v>
      </c>
      <c r="F12" s="9">
        <f>ifna(VLOOKUP(A12, maio23!$A$95:$B$117, 2, FALSE),0)</f>
        <v>0</v>
      </c>
      <c r="G12" s="9">
        <f>ifna(VLOOKUP(A12, junho23!$A$127:$B$152, 2, FALSE),0)</f>
        <v>38.2</v>
      </c>
      <c r="H12" s="9">
        <f>ifna(VLOOKUP(A12, julho23!$A$139:$B$164, 2, FALSE),0)</f>
        <v>12</v>
      </c>
      <c r="I12" s="9">
        <f>ifna(VLOOKUP(A12, Agosto23!$A$127:$B$152, 2, FALSE),0)</f>
        <v>22.2</v>
      </c>
      <c r="J12" s="9">
        <f>ifna(VLOOKUP(A12, setembro23!$A$125:$B$151, 2, FALSE),0)</f>
        <v>42.9</v>
      </c>
      <c r="K12" s="9">
        <f>ifna(VLOOKUP(A12, outubro23!$A$121:$B$146, 2, FALSE),0)</f>
        <v>16.45</v>
      </c>
      <c r="L12" s="9">
        <f>ifna(VLOOKUP(A12, novembro23!$A$121:$B$146, 2, FALSE),0)</f>
        <v>44.9</v>
      </c>
      <c r="M12" s="9">
        <f>ifna(VLOOKUP(A12, Dezembro23!$A$127:$B$152, 2, FALSE),0)</f>
        <v>70.95</v>
      </c>
      <c r="N12" s="9">
        <f>ifna(VLOOKUP(A12, janneiro24!$A$127:$B$152, 2, FALSE),0)</f>
        <v>0</v>
      </c>
      <c r="O12" s="9">
        <f>ifna(VLOOKUP(A12, fevereiro24!$A$127:$B$152, 2, FALSE),0)</f>
        <v>0</v>
      </c>
      <c r="P12" s="9">
        <f>ifna(VLOOKUP(A12, marco24!$A$127:$B$152, 2, FALSE),0)</f>
        <v>128.58</v>
      </c>
      <c r="Q12" s="9">
        <f>ifna(VLOOKUP(A12, abril24!$A$127:$B$152, 2, FALSE),0)</f>
        <v>65.2</v>
      </c>
      <c r="R12" s="9">
        <f>ifna(VLOOKUP(A12, maio24!$A$127:$B$152, 2, FALSE),0)</f>
        <v>169.12</v>
      </c>
      <c r="S12" s="9">
        <f>ifna(VLOOKUP(A12, 'jun24'!$A$127:$B$152, 2, FALSE),0)</f>
        <v>161.05</v>
      </c>
      <c r="T12" s="9">
        <f>ifna(VLOOKUP(A12, 'set24'!$A$127:$B$152, 2, FALSE),0)</f>
        <v>31</v>
      </c>
      <c r="U12" s="9">
        <f>ifna(VLOOKUP(A12, 'jan25'!$A$127:$B$152, 2, FALSE),0)</f>
        <v>0</v>
      </c>
      <c r="V12" s="10">
        <f>ifna(VLOOKUP(A12, 'fev25'!$A$132:$B$157, 2, FALSE),0)</f>
        <v>183.88</v>
      </c>
      <c r="W12" s="10">
        <f>ifna(VLOOKUP(A12, 'mar25'!$A$125:$B$153, 2, FALSE),0)</f>
        <v>125.68</v>
      </c>
      <c r="X12" s="10">
        <f>ifna(VLOOKUP(A12, 'abr25'!$A$131:$B$157, 2, FALSE),0)</f>
        <v>177.18</v>
      </c>
      <c r="Y12" s="10">
        <f>ifna(VLOOKUP(A12, 'mai25'!$A$142:$B$174, 2, FALSE),0)</f>
        <v>310.15</v>
      </c>
      <c r="Z12" s="10">
        <f>ifna(VLOOKUP(A12, 'jun25'!$A$141:$B$169, 2, FALSE),0)</f>
        <v>144.27</v>
      </c>
      <c r="AA12" s="10">
        <f>ifna(VLOOKUP(A12, 'jul25'!$A$141:$B$170, 2, FALSE),0)</f>
        <v>217.82</v>
      </c>
      <c r="AB12" s="10">
        <f>ifna(VLOOKUP(A12, 'ago25'!$A$141:$B$170, 2, FALSE),0)</f>
        <v>189.09</v>
      </c>
      <c r="AC12" s="11">
        <f t="shared" si="1"/>
        <v>212.355</v>
      </c>
    </row>
    <row r="13">
      <c r="A13" s="7" t="s">
        <v>25</v>
      </c>
      <c r="B13" s="8">
        <f>Janeiro23!B62</f>
        <v>185.46</v>
      </c>
      <c r="C13" s="1">
        <f>0</f>
        <v>0</v>
      </c>
      <c r="D13" s="9">
        <f>ifna(VLOOKUP(A13, marco23!$A$97:$B$119, 2, FALSE),0)</f>
        <v>150.32</v>
      </c>
      <c r="E13" s="9">
        <f>ifna(VLOOKUP(A13, abril23!$A$82:$B$103, 2, FALSE),0)</f>
        <v>101.66</v>
      </c>
      <c r="F13" s="9">
        <f>ifna(VLOOKUP(A13, maio23!$A$95:$B$117, 2, FALSE),0)</f>
        <v>168.62</v>
      </c>
      <c r="G13" s="9">
        <f>ifna(VLOOKUP(A13, junho23!$A$127:$B$152, 2, FALSE),0)</f>
        <v>285.67</v>
      </c>
      <c r="H13" s="9">
        <f>ifna(VLOOKUP(A13, julho23!$A$139:$B$164, 2, FALSE),0)</f>
        <v>67.23</v>
      </c>
      <c r="I13" s="9">
        <f>ifna(VLOOKUP(A13, Agosto23!$A$127:$B$152, 2, FALSE),0)</f>
        <v>124.96</v>
      </c>
      <c r="J13" s="9">
        <f>ifna(VLOOKUP(A13, setembro23!$A$125:$B$151, 2, FALSE),0)</f>
        <v>0</v>
      </c>
      <c r="K13" s="9">
        <f>ifna(VLOOKUP(A13, outubro23!$A$121:$B$146, 2, FALSE),0)</f>
        <v>106.54</v>
      </c>
      <c r="L13" s="9">
        <f>ifna(VLOOKUP(A13, novembro23!$A$121:$B$146, 2, FALSE),0)</f>
        <v>52.66</v>
      </c>
      <c r="M13" s="9">
        <f>ifna(VLOOKUP(A13, Dezembro23!$A$127:$B$152, 2, FALSE),0)</f>
        <v>0</v>
      </c>
      <c r="N13" s="9">
        <f>ifna(VLOOKUP(A13, janneiro24!$A$127:$B$152, 2, FALSE),0)</f>
        <v>60.48</v>
      </c>
      <c r="O13" s="9">
        <f>ifna(VLOOKUP(A13, fevereiro24!$A$127:$B$152, 2, FALSE),0)</f>
        <v>60.48</v>
      </c>
      <c r="P13" s="9">
        <f>ifna(VLOOKUP(A13, marco24!$A$127:$B$152, 2, FALSE),0)</f>
        <v>67.49</v>
      </c>
      <c r="Q13" s="9">
        <f>ifna(VLOOKUP(A13, abril24!$A$127:$B$152, 2, FALSE),0)</f>
        <v>132.1</v>
      </c>
      <c r="R13" s="9">
        <f>ifna(VLOOKUP(A13, maio24!$A$127:$B$152, 2, FALSE),0)</f>
        <v>34.17</v>
      </c>
      <c r="S13" s="9">
        <f>ifna(VLOOKUP(A13, 'jun24'!$A$127:$B$152, 2, FALSE),0)</f>
        <v>167.73</v>
      </c>
      <c r="T13" s="9">
        <f>ifna(VLOOKUP(A13, 'set24'!$A$127:$B$152, 2, FALSE),0)</f>
        <v>69.54</v>
      </c>
      <c r="U13" s="9">
        <f>ifna(VLOOKUP(A13, 'jan25'!$A$127:$B$152, 2, FALSE),0)</f>
        <v>140</v>
      </c>
      <c r="V13" s="10">
        <f>ifna(VLOOKUP(A13, 'fev25'!$A$132:$B$157, 2, FALSE),0)</f>
        <v>25.33</v>
      </c>
      <c r="W13" s="10">
        <f>ifna(VLOOKUP(A13, 'mar25'!$A$125:$B$153, 2, FALSE),0)</f>
        <v>79.88</v>
      </c>
      <c r="X13" s="10">
        <f>ifna(VLOOKUP(A13, 'abr25'!$A$131:$B$157, 2, FALSE),0)</f>
        <v>171.34</v>
      </c>
      <c r="Y13" s="10">
        <f>ifna(VLOOKUP(A13, 'mai25'!$A$142:$B$174, 2, FALSE),0)</f>
        <v>167.34</v>
      </c>
      <c r="Z13" s="10">
        <f>ifna(VLOOKUP(A13, 'jun25'!$A$141:$B$169, 2, FALSE),0)</f>
        <v>49.98</v>
      </c>
      <c r="AA13" s="10">
        <f>ifna(VLOOKUP(A13, 'jul25'!$A$141:$B$170, 2, FALSE),0)</f>
        <v>71.97</v>
      </c>
      <c r="AB13" s="10">
        <f>ifna(VLOOKUP(A13, 'ago25'!$A$141:$B$170, 2, FALSE),0)</f>
        <v>69.89</v>
      </c>
      <c r="AC13" s="11">
        <f t="shared" si="1"/>
        <v>115.1575</v>
      </c>
    </row>
    <row r="14">
      <c r="A14" s="7" t="s">
        <v>26</v>
      </c>
      <c r="B14" s="8">
        <f>Janeiro23!B63</f>
        <v>206.99</v>
      </c>
      <c r="C14" s="8">
        <f>fevereiro23!B93</f>
        <v>206.99</v>
      </c>
      <c r="D14" s="9">
        <f>ifna(VLOOKUP(A14, marco23!$A$97:$B$119, 2, FALSE),0)</f>
        <v>206.99</v>
      </c>
      <c r="E14" s="9">
        <f>ifna(VLOOKUP(A14, abril23!$A$82:$B$103, 2, FALSE),0)</f>
        <v>206.99</v>
      </c>
      <c r="F14" s="9">
        <f>ifna(VLOOKUP(A14, maio23!$A$95:$B$117, 2, FALSE),0)</f>
        <v>206.99</v>
      </c>
      <c r="G14" s="9">
        <f>ifna(VLOOKUP(A14, junho23!$A$127:$B$152, 2, FALSE),0)</f>
        <v>206.99</v>
      </c>
      <c r="H14" s="9">
        <f>ifna(VLOOKUP(A14, julho23!$A$139:$B$164, 2, FALSE),0)</f>
        <v>206.99</v>
      </c>
      <c r="I14" s="9">
        <f>ifna(VLOOKUP(A14, Agosto23!$A$127:$B$152, 2, FALSE),0)</f>
        <v>218.5</v>
      </c>
      <c r="J14" s="9">
        <f>ifna(VLOOKUP(A14, setembro23!$A$125:$B$151, 2, FALSE),0)</f>
        <v>218.5</v>
      </c>
      <c r="K14" s="9">
        <f>ifna(VLOOKUP(A14, outubro23!$A$121:$B$146, 2, FALSE),0)</f>
        <v>218.5</v>
      </c>
      <c r="L14" s="9">
        <f>ifna(VLOOKUP(A14, novembro23!$A$121:$B$146, 2, FALSE),0)</f>
        <v>218.5</v>
      </c>
      <c r="M14" s="9">
        <f>ifna(VLOOKUP(A14, Dezembro23!$A$127:$B$152, 2, FALSE),0)</f>
        <v>218.5</v>
      </c>
      <c r="N14" s="9">
        <f>ifna(VLOOKUP(A14, janneiro24!$A$127:$B$152, 2, FALSE),0)</f>
        <v>218.5</v>
      </c>
      <c r="O14" s="9">
        <f>ifna(VLOOKUP(A14, fevereiro24!$A$127:$B$152, 2, FALSE),0)</f>
        <v>218.5</v>
      </c>
      <c r="P14" s="9">
        <f>ifna(VLOOKUP(A14, marco24!$A$127:$B$152, 2, FALSE),0)</f>
        <v>218.5</v>
      </c>
      <c r="Q14" s="9">
        <f>ifna(VLOOKUP(A14, abril24!$A$127:$B$152, 2, FALSE),0)</f>
        <v>218.5</v>
      </c>
      <c r="R14" s="9">
        <f>ifna(VLOOKUP(A14, maio24!$A$127:$B$152, 2, FALSE),0)</f>
        <v>218.5</v>
      </c>
      <c r="S14" s="9">
        <f>ifna(VLOOKUP(A14, 'jun24'!$A$127:$B$152, 2, FALSE),0)</f>
        <v>218.5</v>
      </c>
      <c r="T14" s="9">
        <f>ifna(VLOOKUP(A14, 'set24'!$A$127:$B$152, 2, FALSE),0)</f>
        <v>218.5</v>
      </c>
      <c r="U14" s="9">
        <f>ifna(VLOOKUP(A14, 'jan25'!$A$127:$B$152, 2, FALSE),0)</f>
        <v>244.12</v>
      </c>
      <c r="V14" s="10">
        <f>ifna(VLOOKUP(A14, 'fev25'!$A$132:$B$157, 2, FALSE),0)</f>
        <v>244.12</v>
      </c>
      <c r="W14" s="10">
        <f>ifna(VLOOKUP(A14, 'mar25'!$A$125:$B$153, 2, FALSE),0)</f>
        <v>244.12</v>
      </c>
      <c r="X14" s="10">
        <f>ifna(VLOOKUP(A14, 'abr25'!$A$131:$B$157, 2, FALSE),0)</f>
        <v>244.12</v>
      </c>
      <c r="Y14" s="10">
        <f>ifna(VLOOKUP(A14, 'mai25'!$A$142:$B$174, 2, FALSE),0)</f>
        <v>244.12</v>
      </c>
      <c r="Z14" s="10">
        <f>ifna(VLOOKUP(A14, 'jun25'!$A$141:$B$169, 2, FALSE),0)</f>
        <v>244.12</v>
      </c>
      <c r="AA14" s="10">
        <f>ifna(VLOOKUP(A14, 'jul25'!$A$141:$B$170, 2, FALSE),0)</f>
        <v>244.12</v>
      </c>
      <c r="AB14" s="10">
        <f>ifna(VLOOKUP(A14, 'ago25'!$A$141:$B$170, 2, FALSE),0)</f>
        <v>244.12</v>
      </c>
      <c r="AC14" s="11">
        <f t="shared" si="1"/>
        <v>244.12</v>
      </c>
    </row>
    <row r="15">
      <c r="A15" s="7" t="s">
        <v>27</v>
      </c>
      <c r="B15" s="8">
        <f>Janeiro23!B64</f>
        <v>450</v>
      </c>
      <c r="C15" s="8">
        <f>fevereiro23!B98</f>
        <v>510</v>
      </c>
      <c r="D15" s="9">
        <f>ifna(VLOOKUP(A15, marco23!$A$97:$B$119, 2, FALSE),0)</f>
        <v>0</v>
      </c>
      <c r="E15" s="9">
        <f>ifna(VLOOKUP(A15, abril23!$A$82:$B$103, 2, FALSE),0)</f>
        <v>1169.2</v>
      </c>
      <c r="F15" s="9">
        <f>ifna(VLOOKUP(A15, maio23!$A$95:$B$117, 2, FALSE),0)</f>
        <v>550</v>
      </c>
      <c r="G15" s="9">
        <f>ifna(VLOOKUP(A15, junho23!$A$127:$B$152, 2, FALSE),0)</f>
        <v>511</v>
      </c>
      <c r="H15" s="9">
        <f>ifna(VLOOKUP(A15, julho23!$A$139:$B$164, 2, FALSE),0)</f>
        <v>511</v>
      </c>
      <c r="I15" s="9">
        <f>ifna(VLOOKUP(A15, Agosto23!$A$127:$B$152, 2, FALSE),0)</f>
        <v>511</v>
      </c>
      <c r="J15" s="9">
        <f>ifna(VLOOKUP(A15, setembro23!$A$125:$B$151, 2, FALSE),0)</f>
        <v>511</v>
      </c>
      <c r="K15" s="9">
        <f>ifna(VLOOKUP(A15, outubro23!$A$121:$B$146, 2, FALSE),0)</f>
        <v>407</v>
      </c>
      <c r="L15" s="9">
        <f>ifna(VLOOKUP(A15, novembro23!$A$121:$B$146, 2, FALSE),0)</f>
        <v>333.32</v>
      </c>
      <c r="M15" s="9">
        <f>ifna(VLOOKUP(A15, Dezembro23!$A$127:$B$152, 2, FALSE),0)</f>
        <v>333.32</v>
      </c>
      <c r="N15" s="9">
        <f>ifna(VLOOKUP(A15, janneiro24!$A$127:$B$152, 2, FALSE),0)</f>
        <v>333.32</v>
      </c>
      <c r="O15" s="9">
        <f>ifna(VLOOKUP(A15, fevereiro24!$A$127:$B$152, 2, FALSE),0)</f>
        <v>800</v>
      </c>
      <c r="P15" s="9">
        <f>ifna(VLOOKUP(A15, marco24!$A$127:$B$152, 2, FALSE),0)</f>
        <v>696.36</v>
      </c>
      <c r="Q15" s="9">
        <f>ifna(VLOOKUP(A15, abril24!$A$127:$B$152, 2, FALSE),0)</f>
        <v>696.36</v>
      </c>
      <c r="R15" s="9">
        <f>ifna(VLOOKUP(A15, maio24!$A$127:$B$152, 2, FALSE),0)</f>
        <v>696.36</v>
      </c>
      <c r="S15" s="9">
        <f>ifna(VLOOKUP(A15, 'jun24'!$A$127:$B$152, 2, FALSE),0)</f>
        <v>696.36</v>
      </c>
      <c r="T15" s="9">
        <f>ifna(VLOOKUP(A15, 'set24'!$A$127:$B$152, 2, FALSE),0)</f>
        <v>521.44</v>
      </c>
      <c r="U15" s="9">
        <f>ifna(VLOOKUP(A15, 'jan25'!$A$127:$B$152, 2, FALSE),0)</f>
        <v>600</v>
      </c>
      <c r="V15" s="10">
        <f>ifna(VLOOKUP(A15, 'fev25'!$A$132:$B$157, 2, FALSE),0)</f>
        <v>1160.14</v>
      </c>
      <c r="W15" s="10">
        <f>ifna(VLOOKUP(A15, 'mar25'!$A$125:$B$153, 2, FALSE),0)</f>
        <v>0</v>
      </c>
      <c r="X15" s="10">
        <f>ifna(VLOOKUP(A15, 'abr25'!$A$131:$B$157, 2, FALSE),0)</f>
        <v>600</v>
      </c>
      <c r="Y15" s="10">
        <f>ifna(VLOOKUP(A15, 'mai25'!$A$142:$B$174, 2, FALSE),0)</f>
        <v>0</v>
      </c>
      <c r="Z15" s="10">
        <f>ifna(VLOOKUP(A15, 'jun25'!$A$141:$B$169, 2, FALSE),0)</f>
        <v>356.67</v>
      </c>
      <c r="AA15" s="10">
        <f>ifna(VLOOKUP(A15, 'jul25'!$A$141:$B$170, 2, FALSE),0)</f>
        <v>60</v>
      </c>
      <c r="AB15" s="10">
        <f>ifna(VLOOKUP(A15, 'ago25'!$A$141:$B$170, 2, FALSE),0)</f>
        <v>118</v>
      </c>
      <c r="AC15" s="11">
        <f t="shared" si="1"/>
        <v>254.1675</v>
      </c>
    </row>
    <row r="16">
      <c r="A16" s="7" t="s">
        <v>28</v>
      </c>
      <c r="B16" s="8">
        <f>Janeiro23!B65</f>
        <v>544.55</v>
      </c>
      <c r="C16" s="8">
        <f>fevereiro23!B100</f>
        <v>772.97</v>
      </c>
      <c r="D16" s="9">
        <f>ifna(VLOOKUP(A16, marco23!$A$97:$B$119, 2, FALSE),0)</f>
        <v>1115.05</v>
      </c>
      <c r="E16" s="9">
        <f>ifna(VLOOKUP(A16, abril23!$A$82:$B$103, 2, FALSE),0)</f>
        <v>245.93</v>
      </c>
      <c r="F16" s="9">
        <f>ifna(VLOOKUP(A16, maio23!$A$95:$B$117, 2, FALSE),0)</f>
        <v>1479.63</v>
      </c>
      <c r="G16" s="9">
        <f>ifna(VLOOKUP(A16, junho23!$A$127:$B$152, 2, FALSE),0)</f>
        <v>2191.3</v>
      </c>
      <c r="H16" s="9">
        <f>ifna(VLOOKUP(A16, julho23!$A$139:$B$164, 2, FALSE),0)</f>
        <v>2149.4</v>
      </c>
      <c r="I16" s="9">
        <f>ifna(VLOOKUP(A16, Agosto23!$A$127:$B$152, 2, FALSE),0)</f>
        <v>623.87</v>
      </c>
      <c r="J16" s="9">
        <f>ifna(VLOOKUP(A16, setembro23!$A$125:$B$151, 2, FALSE),0)</f>
        <v>1524.37</v>
      </c>
      <c r="K16" s="9">
        <f>ifna(VLOOKUP(A16, outubro23!$A$121:$B$146, 2, FALSE),0)</f>
        <v>1903.49</v>
      </c>
      <c r="L16" s="9">
        <f>ifna(VLOOKUP(A16, novembro23!$A$121:$B$146, 2, FALSE),0)</f>
        <v>860.2</v>
      </c>
      <c r="M16" s="9">
        <f>ifna(VLOOKUP(A16, Dezembro23!$A$127:$B$152, 2, FALSE),0)</f>
        <v>3924.91</v>
      </c>
      <c r="N16" s="9">
        <f>ifna(VLOOKUP(A16, janneiro24!$A$127:$B$152, 2, FALSE),0)</f>
        <v>5503.4</v>
      </c>
      <c r="O16" s="9">
        <f>ifna(VLOOKUP(A16, fevereiro24!$A$127:$B$152, 2, FALSE),0)</f>
        <v>5503.4</v>
      </c>
      <c r="P16" s="9">
        <f>ifna(VLOOKUP(A16, marco24!$A$127:$B$152, 2, FALSE),0)</f>
        <v>878.65</v>
      </c>
      <c r="Q16" s="9">
        <f>ifna(VLOOKUP(A16, abril24!$A$127:$B$152, 2, FALSE),0)</f>
        <v>528.22</v>
      </c>
      <c r="R16" s="9">
        <f>ifna(VLOOKUP(A16, maio24!$A$127:$B$152, 2, FALSE),0)</f>
        <v>1465.67</v>
      </c>
      <c r="S16" s="9">
        <f>ifna(VLOOKUP(A16, 'jun24'!$A$127:$B$152, 2, FALSE),0)</f>
        <v>109.6</v>
      </c>
      <c r="T16" s="9">
        <f>ifna(VLOOKUP(A16, 'set24'!$A$127:$B$152, 2, FALSE),0)</f>
        <v>919.52</v>
      </c>
      <c r="U16" s="9">
        <f>ifna(VLOOKUP(A16, 'jan25'!$A$127:$B$152, 2, FALSE),0)</f>
        <v>0</v>
      </c>
      <c r="V16" s="10">
        <f>ifna(VLOOKUP(A16, 'fev25'!$A$132:$B$157, 2, FALSE),0)</f>
        <v>697.2</v>
      </c>
      <c r="W16" s="10">
        <f>ifna(VLOOKUP(A16, 'mar25'!$A$125:$B$153, 2, FALSE),0)</f>
        <v>1175.52</v>
      </c>
      <c r="X16" s="10">
        <f>ifna(VLOOKUP(A16, 'abr25'!$A$131:$B$157, 2, FALSE),0)</f>
        <v>1194.88</v>
      </c>
      <c r="Y16" s="10">
        <f>ifna(VLOOKUP(A16, 'mai25'!$A$142:$B$174, 2, FALSE),0)</f>
        <v>468.61</v>
      </c>
      <c r="Z16" s="10">
        <f>ifna(VLOOKUP(A16, 'jun25'!$A$141:$B$169, 2, FALSE),0)</f>
        <v>771.5</v>
      </c>
      <c r="AA16" s="10">
        <f>ifna(VLOOKUP(A16, 'jul25'!$A$141:$B$170, 2, FALSE),0)</f>
        <v>1370.74</v>
      </c>
      <c r="AB16" s="10">
        <f>ifna(VLOOKUP(A16, 'ago25'!$A$141:$B$170, 2, FALSE),0)</f>
        <v>1214.68</v>
      </c>
      <c r="AC16" s="11">
        <f t="shared" si="1"/>
        <v>951.4325</v>
      </c>
    </row>
    <row r="17">
      <c r="A17" s="15" t="s">
        <v>29</v>
      </c>
      <c r="B17" s="8">
        <f>Janeiro23!B68</f>
        <v>1228.08</v>
      </c>
      <c r="C17" s="8">
        <f>fevereiro23!B99</f>
        <v>585.69</v>
      </c>
      <c r="D17" s="9">
        <f>ifna(VLOOKUP(A17, marco23!$A$97:$B$119, 2, FALSE),0)</f>
        <v>1025.47</v>
      </c>
      <c r="E17" s="9">
        <f>ifna(VLOOKUP(A17, abril23!$A$82:$B$103, 2, FALSE),0)</f>
        <v>648.42</v>
      </c>
      <c r="F17" s="9">
        <f>ifna(VLOOKUP(A17, maio23!$A$95:$B$117, 2, FALSE),0)</f>
        <v>1382.2</v>
      </c>
      <c r="G17" s="9">
        <f>ifna(VLOOKUP(A17, junho23!$A$127:$B$152, 2, FALSE),0)</f>
        <v>1493.65</v>
      </c>
      <c r="H17" s="9">
        <f>ifna(VLOOKUP(A17, julho23!$A$139:$B$164, 2, FALSE),0)</f>
        <v>1015.78</v>
      </c>
      <c r="I17" s="9">
        <f>ifna(VLOOKUP(A17, Agosto23!$A$127:$B$152, 2, FALSE),0)</f>
        <v>1151.82</v>
      </c>
      <c r="J17" s="9">
        <f>ifna(VLOOKUP(A17, setembro23!$A$125:$B$151, 2, FALSE),0)</f>
        <v>1202.85</v>
      </c>
      <c r="K17" s="9">
        <f>ifna(VLOOKUP(A17, outubro23!$A$121:$B$146, 2, FALSE),0)</f>
        <v>1284.31</v>
      </c>
      <c r="L17" s="9">
        <f>ifna(VLOOKUP(A17, novembro23!$A$121:$B$146, 2, FALSE),0)</f>
        <v>1069.75</v>
      </c>
      <c r="M17" s="9">
        <f>ifna(VLOOKUP(A17, Dezembro23!$A$127:$B$152, 2, FALSE),0)</f>
        <v>736.04</v>
      </c>
      <c r="N17" s="9">
        <f>ifna(VLOOKUP(A17, janneiro24!$A$127:$B$152, 2, FALSE),0)</f>
        <v>269.24</v>
      </c>
      <c r="O17" s="9">
        <f>ifna(VLOOKUP(A17, fevereiro24!$A$127:$B$152, 2, FALSE),0)</f>
        <v>269.24</v>
      </c>
      <c r="P17" s="9">
        <f>ifna(VLOOKUP(A17, marco24!$A$127:$B$152, 2, FALSE),0)</f>
        <v>1213.51</v>
      </c>
      <c r="Q17" s="9">
        <f>ifna(VLOOKUP(A17, abril24!$A$127:$B$152, 2, FALSE),0)</f>
        <v>1143.95</v>
      </c>
      <c r="R17" s="9">
        <f>ifna(VLOOKUP(A17, maio24!$A$127:$B$152, 2, FALSE),0)</f>
        <v>1473.36</v>
      </c>
      <c r="S17" s="9">
        <f>ifna(VLOOKUP(A17, 'jun24'!$A$127:$B$152, 2, FALSE),0)</f>
        <v>720.21</v>
      </c>
      <c r="T17" s="9">
        <f>ifna(VLOOKUP(A17, 'set24'!$A$127:$B$152, 2, FALSE),0)</f>
        <v>558.25</v>
      </c>
      <c r="U17" s="9">
        <f>ifna(VLOOKUP(A17, 'jan25'!$A$127:$B$152, 2, FALSE),0)</f>
        <v>0</v>
      </c>
      <c r="V17" s="10">
        <f>ifna(VLOOKUP(A17, 'fev25'!$A$132:$B$157, 2, FALSE),0)</f>
        <v>1423.03</v>
      </c>
      <c r="W17" s="10">
        <f>ifna(VLOOKUP(A17, 'mar25'!$A$125:$B$153, 2, FALSE),0)</f>
        <v>993.2</v>
      </c>
      <c r="X17" s="10">
        <f>ifna(VLOOKUP(A17, 'abr25'!$A$131:$B$157, 2, FALSE),0)</f>
        <v>1177.36</v>
      </c>
      <c r="Y17" s="10">
        <f>ifna(VLOOKUP(A17, 'mai25'!$A$142:$B$174, 2, FALSE),0)</f>
        <v>1670.69</v>
      </c>
      <c r="Z17" s="10">
        <f>ifna(VLOOKUP(A17, 'jun25'!$A$141:$B$169, 2, FALSE),0)</f>
        <v>1179.08</v>
      </c>
      <c r="AA17" s="10">
        <f>ifna(VLOOKUP(A17, 'jul25'!$A$141:$B$170, 2, FALSE),0)</f>
        <v>1083.14</v>
      </c>
      <c r="AB17" s="10">
        <f>ifna(VLOOKUP(A17, 'ago25'!$A$141:$B$170, 2, FALSE),0)</f>
        <v>1151.27</v>
      </c>
      <c r="AC17" s="11">
        <f t="shared" si="1"/>
        <v>1277.5675</v>
      </c>
    </row>
    <row r="18">
      <c r="A18" s="7" t="s">
        <v>30</v>
      </c>
      <c r="B18" s="14">
        <f t="shared" ref="B18:B20" si="2">0</f>
        <v>0</v>
      </c>
      <c r="C18" s="8">
        <f>fevereiro23!B84</f>
        <v>38</v>
      </c>
      <c r="D18" s="9">
        <f>ifna(VLOOKUP(A18, marco23!$A$97:$B$119, 2, FALSE),0)</f>
        <v>0</v>
      </c>
      <c r="E18" s="9">
        <f>ifna(VLOOKUP(A18, abril23!$A$82:$B$103, 2, FALSE),0)</f>
        <v>0</v>
      </c>
      <c r="F18" s="9">
        <f>ifna(VLOOKUP(A18, maio23!$A$95:$B$117, 2, FALSE),0)</f>
        <v>0</v>
      </c>
      <c r="G18" s="9">
        <f>ifna(VLOOKUP(A18, junho23!$A$127:$B$152, 2, FALSE),0)</f>
        <v>0</v>
      </c>
      <c r="H18" s="9">
        <f>ifna(VLOOKUP(A18, julho23!$A$139:$B$164, 2, FALSE),0)</f>
        <v>0</v>
      </c>
      <c r="I18" s="9">
        <f>ifna(VLOOKUP(A18, Agosto23!$A$127:$B$152, 2, FALSE),0)</f>
        <v>0</v>
      </c>
      <c r="J18" s="9">
        <f>ifna(VLOOKUP(A18, setembro23!$A$125:$B$151, 2, FALSE),0)</f>
        <v>0</v>
      </c>
      <c r="K18" s="9">
        <f>ifna(VLOOKUP(A18, outubro23!$A$121:$B$146, 2, FALSE),0)</f>
        <v>0</v>
      </c>
      <c r="L18" s="9">
        <f>ifna(VLOOKUP(A18, novembro23!$A$121:$B$146, 2, FALSE),0)</f>
        <v>0</v>
      </c>
      <c r="M18" s="9">
        <f>ifna(VLOOKUP(A18, Dezembro23!$A$127:$B$152, 2, FALSE),0)</f>
        <v>55</v>
      </c>
      <c r="N18" s="9">
        <f>ifna(VLOOKUP(A18, janneiro24!$A$127:$B$152, 2, FALSE),0)</f>
        <v>0</v>
      </c>
      <c r="O18" s="9">
        <f>ifna(VLOOKUP(A18, fevereiro24!$A$127:$B$152, 2, FALSE),0)</f>
        <v>0</v>
      </c>
      <c r="P18" s="9">
        <f>ifna(VLOOKUP(A18, marco24!$A$127:$B$152, 2, FALSE),0)</f>
        <v>0</v>
      </c>
      <c r="Q18" s="9">
        <f>ifna(VLOOKUP(A18, abril24!$A$127:$B$152, 2, FALSE),0)</f>
        <v>105</v>
      </c>
      <c r="R18" s="9">
        <f>ifna(VLOOKUP(A18, maio24!$A$127:$B$152, 2, FALSE),0)</f>
        <v>0</v>
      </c>
      <c r="S18" s="9">
        <f>ifna(VLOOKUP(A18, 'jun24'!$A$127:$B$152, 2, FALSE),0)</f>
        <v>0</v>
      </c>
      <c r="T18" s="9">
        <f>ifna(VLOOKUP(A18, 'set24'!$A$127:$B$152, 2, FALSE),0)</f>
        <v>0</v>
      </c>
      <c r="U18" s="9">
        <f>ifna(VLOOKUP(A18, 'jan25'!$A$127:$B$152, 2, FALSE),0)</f>
        <v>0</v>
      </c>
      <c r="V18" s="10">
        <f>ifna(VLOOKUP(A18, 'fev25'!$A$132:$B$157, 2, FALSE),0)</f>
        <v>0</v>
      </c>
      <c r="W18" s="10">
        <f>ifna(VLOOKUP(A18, 'mar25'!$A$125:$B$153, 2, FALSE),0)</f>
        <v>40</v>
      </c>
      <c r="X18" s="10">
        <f>ifna(VLOOKUP(A18, 'abr25'!$A$131:$B$157, 2, FALSE),0)</f>
        <v>0</v>
      </c>
      <c r="Y18" s="10">
        <f>ifna(VLOOKUP(A18, 'mai25'!$A$142:$B$174, 2, FALSE),0)</f>
        <v>0</v>
      </c>
      <c r="Z18" s="10">
        <f>ifna(VLOOKUP(A18, 'jun25'!$A$141:$B$169, 2, FALSE),0)</f>
        <v>40</v>
      </c>
      <c r="AA18" s="10">
        <f>ifna(VLOOKUP(A18, 'jul25'!$A$141:$B$170, 2, FALSE),0)</f>
        <v>0</v>
      </c>
      <c r="AB18" s="10">
        <f>ifna(VLOOKUP(A18, 'ago25'!$A$141:$B$170, 2, FALSE),0)</f>
        <v>0</v>
      </c>
      <c r="AC18" s="11">
        <f t="shared" si="1"/>
        <v>10</v>
      </c>
    </row>
    <row r="19">
      <c r="A19" s="15" t="s">
        <v>31</v>
      </c>
      <c r="B19" s="14">
        <f t="shared" si="2"/>
        <v>0</v>
      </c>
      <c r="C19" s="8">
        <f>fevereiro23!B87</f>
        <v>89.99</v>
      </c>
      <c r="D19" s="9">
        <f>ifna(VLOOKUP(A19, marco23!$A$97:$B$119, 2, FALSE),0)</f>
        <v>274.92</v>
      </c>
      <c r="E19" s="9">
        <f>ifna(VLOOKUP(A19, abril23!$A$82:$B$103, 2, FALSE),0)</f>
        <v>0</v>
      </c>
      <c r="F19" s="9">
        <f>ifna(VLOOKUP(A19, maio23!$A$95:$B$117, 2, FALSE),0)</f>
        <v>266.14</v>
      </c>
      <c r="G19" s="9">
        <f>ifna(VLOOKUP(A19, junho23!$A$127:$B$152, 2, FALSE),0)</f>
        <v>0</v>
      </c>
      <c r="H19" s="9">
        <f>ifna(VLOOKUP(A19, julho23!$A$139:$B$164, 2, FALSE),0)</f>
        <v>29.99</v>
      </c>
      <c r="I19" s="9">
        <f>ifna(VLOOKUP(A19, Agosto23!$A$127:$B$152, 2, FALSE),0)</f>
        <v>0</v>
      </c>
      <c r="J19" s="9">
        <f>ifna(VLOOKUP(A19, setembro23!$A$125:$B$151, 2, FALSE),0)</f>
        <v>121.42</v>
      </c>
      <c r="K19" s="9">
        <f>ifna(VLOOKUP(A19, outubro23!$A$121:$B$146, 2, FALSE),0)</f>
        <v>149.99</v>
      </c>
      <c r="L19" s="9">
        <f>ifna(VLOOKUP(A19, novembro23!$A$121:$B$146, 2, FALSE),0)</f>
        <v>460.99</v>
      </c>
      <c r="M19" s="9">
        <f>ifna(VLOOKUP(A19, Dezembro23!$A$127:$B$152, 2, FALSE),0)</f>
        <v>569.87</v>
      </c>
      <c r="N19" s="9">
        <f>ifna(VLOOKUP(A19, janneiro24!$A$127:$B$152, 2, FALSE),0)</f>
        <v>109.95</v>
      </c>
      <c r="O19" s="9">
        <f>ifna(VLOOKUP(A19, fevereiro24!$A$127:$B$152, 2, FALSE),0)</f>
        <v>109.95</v>
      </c>
      <c r="P19" s="9">
        <f>ifna(VLOOKUP(A19, marco24!$A$127:$B$152, 2, FALSE),0)</f>
        <v>280.87</v>
      </c>
      <c r="Q19" s="9">
        <f>ifna(VLOOKUP(A19, abril24!$A$127:$B$152, 2, FALSE),0)</f>
        <v>84.9</v>
      </c>
      <c r="R19" s="9">
        <f>ifna(VLOOKUP(A19, maio24!$A$127:$B$152, 2, FALSE),0)</f>
        <v>386.68</v>
      </c>
      <c r="S19" s="9">
        <f>ifna(VLOOKUP(A19, 'jun24'!$A$127:$B$152, 2, FALSE),0)</f>
        <v>204.69</v>
      </c>
      <c r="T19" s="9">
        <f>ifna(VLOOKUP(A19, 'set24'!$A$127:$B$152, 2, FALSE),0)</f>
        <v>0</v>
      </c>
      <c r="U19" s="9">
        <f>ifna(VLOOKUP(A19, 'jan25'!$A$127:$B$152, 2, FALSE),0)</f>
        <v>0</v>
      </c>
      <c r="V19" s="10">
        <f>ifna(VLOOKUP(A19, 'fev25'!$A$132:$B$157, 2, FALSE),0)</f>
        <v>0</v>
      </c>
      <c r="W19" s="10">
        <f>ifna(VLOOKUP(A19, 'mar25'!$A$125:$B$153, 2, FALSE),0)</f>
        <v>324.93</v>
      </c>
      <c r="X19" s="10">
        <f>ifna(VLOOKUP(A19, 'abr25'!$A$131:$B$157, 2, FALSE),0)</f>
        <v>305.69</v>
      </c>
      <c r="Y19" s="10">
        <f>ifna(VLOOKUP(A19, 'mai25'!$A$142:$B$174, 2, FALSE),0)</f>
        <v>199.96</v>
      </c>
      <c r="Z19" s="10">
        <f>ifna(VLOOKUP(A19, 'jun25'!$A$141:$B$169, 2, FALSE),0)</f>
        <v>164.97</v>
      </c>
      <c r="AA19" s="10">
        <f>ifna(VLOOKUP(A19, 'jul25'!$A$141:$B$170, 2, FALSE),0)</f>
        <v>364.93</v>
      </c>
      <c r="AB19" s="10">
        <f>ifna(VLOOKUP(A19, 'ago25'!$A$141:$B$170, 2, FALSE),0)</f>
        <v>968.53</v>
      </c>
      <c r="AC19" s="11">
        <f t="shared" si="1"/>
        <v>258.8875</v>
      </c>
    </row>
    <row r="20">
      <c r="A20" s="16" t="s">
        <v>32</v>
      </c>
      <c r="B20" s="14">
        <f t="shared" si="2"/>
        <v>0</v>
      </c>
      <c r="C20" s="14">
        <f>fevereiro23!B92</f>
        <v>200</v>
      </c>
      <c r="D20" s="9">
        <f>ifna(VLOOKUP(A20, marco23!$A$97:$B$119, 2, FALSE),0)</f>
        <v>0</v>
      </c>
      <c r="E20" s="9">
        <f>ifna(VLOOKUP(A20, abril23!$A$82:$B$103, 2, FALSE),0)</f>
        <v>100</v>
      </c>
      <c r="F20" s="9">
        <f>ifna(VLOOKUP(A20, maio23!$A$95:$B$117, 2, FALSE),0)</f>
        <v>0</v>
      </c>
      <c r="G20" s="9">
        <f>ifna(VLOOKUP(A20, junho23!$A$127:$B$152, 2, FALSE),0)</f>
        <v>0</v>
      </c>
      <c r="H20" s="9">
        <f>ifna(VLOOKUP(A20, julho23!$A$139:$B$164, 2, FALSE),0)</f>
        <v>0</v>
      </c>
      <c r="I20" s="9">
        <f>ifna(VLOOKUP(A20, Agosto23!$A$127:$B$152, 2, FALSE),0)</f>
        <v>100</v>
      </c>
      <c r="J20" s="9">
        <f>ifna(VLOOKUP(A20, setembro23!$A$125:$B$151, 2, FALSE),0)</f>
        <v>175.54</v>
      </c>
      <c r="K20" s="9">
        <f>ifna(VLOOKUP(A20, outubro23!$A$121:$B$146, 2, FALSE),0)</f>
        <v>156.9</v>
      </c>
      <c r="L20" s="9">
        <f>ifna(VLOOKUP(A20, novembro23!$A$121:$B$146, 2, FALSE),0)</f>
        <v>385.26</v>
      </c>
      <c r="M20" s="9">
        <f>ifna(VLOOKUP(A20, Dezembro23!$A$127:$B$152, 2, FALSE),0)</f>
        <v>525.9</v>
      </c>
      <c r="N20" s="9">
        <f>ifna(VLOOKUP(A20, janneiro24!$A$127:$B$152, 2, FALSE),0)</f>
        <v>0</v>
      </c>
      <c r="O20" s="9">
        <f>ifna(VLOOKUP(A20, fevereiro24!$A$127:$B$152, 2, FALSE),0)</f>
        <v>0</v>
      </c>
      <c r="P20" s="9">
        <f>ifna(VLOOKUP(A20, marco24!$A$127:$B$152, 2, FALSE),0)</f>
        <v>215.36</v>
      </c>
      <c r="Q20" s="9">
        <f>ifna(VLOOKUP(A20, abril24!$A$127:$B$152, 2, FALSE),0)</f>
        <v>89.99</v>
      </c>
      <c r="R20" s="9">
        <f>ifna(VLOOKUP(A20, maio24!$A$127:$B$152, 2, FALSE),0)</f>
        <v>257.43</v>
      </c>
      <c r="S20" s="9">
        <f>ifna(VLOOKUP(A20, 'jun24'!$A$127:$B$152, 2, FALSE),0)</f>
        <v>40.99</v>
      </c>
      <c r="T20" s="9">
        <f>ifna(VLOOKUP(A20, 'set24'!$A$127:$B$152, 2, FALSE),0)</f>
        <v>41</v>
      </c>
      <c r="U20" s="9">
        <f>ifna(VLOOKUP(A20, 'jan25'!$A$127:$B$152, 2, FALSE),0)</f>
        <v>0</v>
      </c>
      <c r="V20" s="10">
        <f>ifna(VLOOKUP(A20, 'fev25'!$A$132:$B$157, 2, FALSE),0)</f>
        <v>282.25</v>
      </c>
      <c r="W20" s="10">
        <f>ifna(VLOOKUP(A20, 'mar25'!$A$125:$B$153, 2, FALSE),0)</f>
        <v>814.77</v>
      </c>
      <c r="X20" s="10">
        <f>ifna(VLOOKUP(A20, 'abr25'!$A$131:$B$157, 2, FALSE),0)</f>
        <v>406.27</v>
      </c>
      <c r="Y20" s="10">
        <f>ifna(VLOOKUP(A20, 'mai25'!$A$142:$B$174, 2, FALSE),0)</f>
        <v>108.44</v>
      </c>
      <c r="Z20" s="10">
        <f>ifna(VLOOKUP(A20, 'jun25'!$A$141:$B$169, 2, FALSE),0)</f>
        <v>631.82</v>
      </c>
      <c r="AA20" s="10">
        <f>ifna(VLOOKUP(A20, 'jul25'!$A$141:$B$170, 2, FALSE),0)</f>
        <v>40</v>
      </c>
      <c r="AB20" s="10">
        <f>ifna(VLOOKUP(A20, 'ago25'!$A$141:$B$170, 2, FALSE),0)</f>
        <v>153.71</v>
      </c>
      <c r="AC20" s="11">
        <f t="shared" si="1"/>
        <v>296.6325</v>
      </c>
    </row>
    <row r="21">
      <c r="A21" s="12" t="s">
        <v>33</v>
      </c>
      <c r="B21" s="1">
        <v>0.0</v>
      </c>
      <c r="C21" s="8">
        <f>fevereiro23!B94</f>
        <v>261.83</v>
      </c>
      <c r="D21" s="9">
        <f>ifna(VLOOKUP(A21, marco23!$A$97:$B$119, 2, FALSE),0)</f>
        <v>139.07</v>
      </c>
      <c r="E21" s="9">
        <f>ifna(VLOOKUP(A21, abril23!$A$82:$B$103, 2, FALSE),0)</f>
        <v>142.18</v>
      </c>
      <c r="F21" s="9">
        <f>ifna(VLOOKUP(A21, maio23!$A$95:$B$117, 2, FALSE),0)</f>
        <v>0</v>
      </c>
      <c r="G21" s="9">
        <f>ifna(VLOOKUP(A21, junho23!$A$127:$B$152, 2, FALSE),0)</f>
        <v>0</v>
      </c>
      <c r="H21" s="9">
        <f>ifna(VLOOKUP(A21, julho23!$A$139:$B$164, 2, FALSE),0)</f>
        <v>86.08</v>
      </c>
      <c r="I21" s="9">
        <f>ifna(VLOOKUP(A21, Agosto23!$A$127:$B$152, 2, FALSE),0)</f>
        <v>226.33</v>
      </c>
      <c r="J21" s="9">
        <f>ifna(VLOOKUP(A21, setembro23!$A$125:$B$151, 2, FALSE),0)</f>
        <v>180</v>
      </c>
      <c r="K21" s="9">
        <f>ifna(VLOOKUP(A21, outubro23!$A$121:$B$146, 2, FALSE),0)</f>
        <v>252.36</v>
      </c>
      <c r="L21" s="9">
        <f>ifna(VLOOKUP(A21, novembro23!$A$121:$B$146, 2, FALSE),0)</f>
        <v>0</v>
      </c>
      <c r="M21" s="9">
        <f>ifna(VLOOKUP(A21, Dezembro23!$A$127:$B$152, 2, FALSE),0)</f>
        <v>25.99</v>
      </c>
      <c r="N21" s="9">
        <f>ifna(VLOOKUP(A21, janneiro24!$A$127:$B$152, 2, FALSE),0)</f>
        <v>0</v>
      </c>
      <c r="O21" s="9">
        <f>ifna(VLOOKUP(A21, fevereiro24!$A$127:$B$152, 2, FALSE),0)</f>
        <v>0</v>
      </c>
      <c r="P21" s="9">
        <f>ifna(VLOOKUP(A21, marco24!$A$127:$B$152, 2, FALSE),0)</f>
        <v>0</v>
      </c>
      <c r="Q21" s="9">
        <f>ifna(VLOOKUP(A21, abril24!$A$127:$B$152, 2, FALSE),0)</f>
        <v>0</v>
      </c>
      <c r="R21" s="9">
        <f>ifna(VLOOKUP(A21, maio24!$A$127:$B$152, 2, FALSE),0)</f>
        <v>0</v>
      </c>
      <c r="S21" s="9">
        <f>ifna(VLOOKUP(A21, 'jun24'!$A$127:$B$152, 2, FALSE),0)</f>
        <v>0</v>
      </c>
      <c r="T21" s="9">
        <f>ifna(VLOOKUP(A21, 'set24'!$A$127:$B$152, 2, FALSE),0)</f>
        <v>0</v>
      </c>
      <c r="U21" s="9">
        <f>ifna(VLOOKUP(A21, 'jan25'!$A$127:$B$152, 2, FALSE),0)</f>
        <v>0</v>
      </c>
      <c r="V21" s="10">
        <f>ifna(VLOOKUP(A21, 'fev25'!$A$132:$B$157, 2, FALSE),0)</f>
        <v>33.5</v>
      </c>
      <c r="W21" s="10">
        <f>ifna(VLOOKUP(A21, 'mar25'!$A$125:$B$153, 2, FALSE),0)</f>
        <v>96.4</v>
      </c>
      <c r="X21" s="10">
        <f>ifna(VLOOKUP(A21, 'abr25'!$A$131:$B$157, 2, FALSE),0)</f>
        <v>180.87</v>
      </c>
      <c r="Y21" s="10">
        <f>ifna(VLOOKUP(A21, 'mai25'!$A$142:$B$174, 2, FALSE),0)</f>
        <v>32.86</v>
      </c>
      <c r="Z21" s="10">
        <f>ifna(VLOOKUP(A21, 'jun25'!$A$141:$B$169, 2, FALSE),0)</f>
        <v>17.94</v>
      </c>
      <c r="AA21" s="10">
        <f>ifna(VLOOKUP(A21, 'jul25'!$A$141:$B$170, 2, FALSE),0)</f>
        <v>0</v>
      </c>
      <c r="AB21" s="10">
        <f>ifna(VLOOKUP(A21, 'ago25'!$A$141:$B$170, 2, FALSE),0)</f>
        <v>0</v>
      </c>
      <c r="AC21" s="11">
        <f t="shared" si="1"/>
        <v>57.9175</v>
      </c>
    </row>
    <row r="22">
      <c r="A22" s="16" t="s">
        <v>34</v>
      </c>
      <c r="B22" s="1">
        <v>0.0</v>
      </c>
      <c r="C22" s="8">
        <f>fevereiro23!B96</f>
        <v>454.76</v>
      </c>
      <c r="D22" s="9">
        <f>ifna(VLOOKUP(A22, marco23!$A$97:$B$119, 2, FALSE),0)</f>
        <v>443.82</v>
      </c>
      <c r="E22" s="9">
        <f>ifna(VLOOKUP(A22, abril23!$A$82:$B$103, 2, FALSE),0)</f>
        <v>155.1</v>
      </c>
      <c r="F22" s="9">
        <f>ifna(VLOOKUP(A22, maio23!$A$95:$B$117, 2, FALSE),0)</f>
        <v>371.54</v>
      </c>
      <c r="G22" s="9">
        <f>ifna(VLOOKUP(A22, junho23!$A$127:$B$152, 2, FALSE),0)</f>
        <v>515.7</v>
      </c>
      <c r="H22" s="9">
        <f>ifna(VLOOKUP(A22, julho23!$A$139:$B$164, 2, FALSE),0)</f>
        <v>142.9</v>
      </c>
      <c r="I22" s="9">
        <f>ifna(VLOOKUP(A22, Agosto23!$A$127:$B$152, 2, FALSE),0)</f>
        <v>655.65</v>
      </c>
      <c r="J22" s="9">
        <f>ifna(VLOOKUP(A22, setembro23!$A$125:$B$151, 2, FALSE),0)</f>
        <v>199.6</v>
      </c>
      <c r="K22" s="9">
        <f>ifna(VLOOKUP(A22, outubro23!$A$121:$B$146, 2, FALSE),0)</f>
        <v>423.42</v>
      </c>
      <c r="L22" s="9">
        <f>ifna(VLOOKUP(A22, novembro23!$A$121:$B$146, 2, FALSE),0)</f>
        <v>457.02</v>
      </c>
      <c r="M22" s="9">
        <f>ifna(VLOOKUP(A22, Dezembro23!$A$127:$B$152, 2, FALSE),0)</f>
        <v>414.68</v>
      </c>
      <c r="N22" s="9">
        <f>ifna(VLOOKUP(A22, janneiro24!$A$127:$B$152, 2, FALSE),0)</f>
        <v>90</v>
      </c>
      <c r="O22" s="9">
        <f>ifna(VLOOKUP(A22, fevereiro24!$A$127:$B$152, 2, FALSE),0)</f>
        <v>90</v>
      </c>
      <c r="P22" s="9">
        <f>ifna(VLOOKUP(A22, marco24!$A$127:$B$152, 2, FALSE),0)</f>
        <v>90</v>
      </c>
      <c r="Q22" s="9">
        <f>ifna(VLOOKUP(A22, abril24!$A$127:$B$152, 2, FALSE),0)</f>
        <v>357.45</v>
      </c>
      <c r="R22" s="9">
        <f>ifna(VLOOKUP(A22, maio24!$A$127:$B$152, 2, FALSE),0)</f>
        <v>209.7</v>
      </c>
      <c r="S22" s="9">
        <f>ifna(VLOOKUP(A22, 'jun24'!$A$127:$B$152, 2, FALSE),0)</f>
        <v>636.16</v>
      </c>
      <c r="T22" s="9">
        <f>ifna(VLOOKUP(A22, 'set24'!$A$127:$B$152, 2, FALSE),0)</f>
        <v>169.9</v>
      </c>
      <c r="U22" s="9">
        <f>ifna(VLOOKUP(A22, 'jan25'!$A$127:$B$152, 2, FALSE),0)</f>
        <v>60</v>
      </c>
      <c r="V22" s="10">
        <f>ifna(VLOOKUP(A22, 'fev25'!$A$132:$B$157, 2, FALSE),0)</f>
        <v>546.88</v>
      </c>
      <c r="W22" s="10">
        <f>ifna(VLOOKUP(A22, 'mar25'!$A$125:$B$153, 2, FALSE),0)</f>
        <v>282.49</v>
      </c>
      <c r="X22" s="10">
        <f>ifna(VLOOKUP(A22, 'abr25'!$A$131:$B$157, 2, FALSE),0)</f>
        <v>354.38</v>
      </c>
      <c r="Y22" s="10">
        <f>ifna(VLOOKUP(A22, 'mai25'!$A$142:$B$174, 2, FALSE),0)</f>
        <v>294.93</v>
      </c>
      <c r="Z22" s="10">
        <f>ifna(VLOOKUP(A22, 'jun25'!$A$141:$B$169, 2, FALSE),0)</f>
        <v>768.33</v>
      </c>
      <c r="AA22" s="10">
        <f>ifna(VLOOKUP(A22, 'jul25'!$A$141:$B$170, 2, FALSE),0)</f>
        <v>847.76</v>
      </c>
      <c r="AB22" s="10">
        <f>ifna(VLOOKUP(A22, 'ago25'!$A$141:$B$170, 2, FALSE),0)</f>
        <v>1320.52</v>
      </c>
      <c r="AC22" s="11">
        <f t="shared" si="1"/>
        <v>566.35</v>
      </c>
    </row>
    <row r="23">
      <c r="A23" s="12" t="s">
        <v>35</v>
      </c>
      <c r="B23" s="14">
        <f t="shared" ref="B23:B27" si="3">0</f>
        <v>0</v>
      </c>
      <c r="C23" s="8">
        <f>fevereiro23!B101</f>
        <v>829.1</v>
      </c>
      <c r="D23" s="9">
        <f>ifna(VLOOKUP(A23, marco23!$A$97:$B$119, 2, FALSE),0)</f>
        <v>737</v>
      </c>
      <c r="E23" s="9">
        <f>ifna(VLOOKUP(A23, abril23!$A$82:$B$103, 2, FALSE),0)</f>
        <v>33.47</v>
      </c>
      <c r="F23" s="9">
        <f>ifna(VLOOKUP(A23, maio23!$A$95:$B$117, 2, FALSE),0)</f>
        <v>32.94</v>
      </c>
      <c r="G23" s="9">
        <f>ifna(VLOOKUP(A23, junho23!$A$127:$B$152, 2, FALSE),0)</f>
        <v>8.46</v>
      </c>
      <c r="H23" s="9">
        <f>ifna(VLOOKUP(A23, julho23!$A$139:$B$164, 2, FALSE),0)</f>
        <v>0</v>
      </c>
      <c r="I23" s="9">
        <f>ifna(VLOOKUP(A23, Agosto23!$A$127:$B$152, 2, FALSE),0)</f>
        <v>125.12</v>
      </c>
      <c r="J23" s="9">
        <f>ifna(VLOOKUP(A23, setembro23!$A$125:$B$151, 2, FALSE),0)</f>
        <v>0</v>
      </c>
      <c r="K23" s="9">
        <f>ifna(VLOOKUP(A23, outubro23!$A$121:$B$146, 2, FALSE),0)</f>
        <v>0</v>
      </c>
      <c r="L23" s="9">
        <f>ifna(VLOOKUP(A23, novembro23!$A$121:$B$146, 2, FALSE),0)</f>
        <v>0</v>
      </c>
      <c r="M23" s="9">
        <f>ifna(VLOOKUP(A23, Dezembro23!$A$127:$B$152, 2, FALSE),0)</f>
        <v>0</v>
      </c>
      <c r="N23" s="9">
        <f>ifna(VLOOKUP(A23, janneiro24!$A$127:$B$152, 2, FALSE),0)</f>
        <v>0</v>
      </c>
      <c r="O23" s="9">
        <f>ifna(VLOOKUP(A23, fevereiro24!$A$127:$B$152, 2, FALSE),0)</f>
        <v>0</v>
      </c>
      <c r="P23" s="9">
        <f>ifna(VLOOKUP(A23, marco24!$A$127:$B$152, 2, FALSE),0)</f>
        <v>0</v>
      </c>
      <c r="Q23" s="9">
        <f>ifna(VLOOKUP(A23, abril24!$A$127:$B$152, 2, FALSE),0)</f>
        <v>0</v>
      </c>
      <c r="R23" s="9">
        <f>ifna(VLOOKUP(A23, maio24!$A$127:$B$152, 2, FALSE),0)</f>
        <v>0</v>
      </c>
      <c r="S23" s="9">
        <f>ifna(VLOOKUP(A23, 'jun24'!$A$127:$B$152, 2, FALSE),0)</f>
        <v>0</v>
      </c>
      <c r="T23" s="9">
        <f>ifna(VLOOKUP(A23, 'set24'!$A$127:$B$152, 2, FALSE),0)</f>
        <v>0</v>
      </c>
      <c r="U23" s="9">
        <f>ifna(VLOOKUP(A23, 'jan25'!$A$127:$B$152, 2, FALSE),0)</f>
        <v>0</v>
      </c>
      <c r="V23" s="10">
        <f>ifna(VLOOKUP(A23, 'fev25'!$A$132:$B$157, 2, FALSE),0)</f>
        <v>1638</v>
      </c>
      <c r="W23" s="10">
        <f>ifna(VLOOKUP(A23, 'mar25'!$A$125:$B$153, 2, FALSE),0)</f>
        <v>0</v>
      </c>
      <c r="X23" s="10">
        <f>ifna(VLOOKUP(A23, 'abr25'!$A$131:$B$157, 2, FALSE),0)</f>
        <v>0</v>
      </c>
      <c r="Y23" s="10">
        <f>ifna(VLOOKUP(A23, 'mai25'!$A$142:$B$174, 2, FALSE),0)</f>
        <v>48.73</v>
      </c>
      <c r="Z23" s="10">
        <f>ifna(VLOOKUP(A23, 'jun25'!$A$141:$B$169, 2, FALSE),0)</f>
        <v>0</v>
      </c>
      <c r="AA23" s="10">
        <f>ifna(VLOOKUP(A23, 'jul25'!$A$141:$B$170, 2, FALSE),0)</f>
        <v>39.97</v>
      </c>
      <c r="AB23" s="10">
        <f>ifna(VLOOKUP(A23, 'ago25'!$A$141:$B$170, 2, FALSE),0)</f>
        <v>26.5</v>
      </c>
      <c r="AC23" s="11">
        <f t="shared" si="1"/>
        <v>22.175</v>
      </c>
    </row>
    <row r="24">
      <c r="A24" s="16" t="s">
        <v>36</v>
      </c>
      <c r="B24" s="14">
        <f t="shared" si="3"/>
        <v>0</v>
      </c>
      <c r="C24" s="14">
        <f t="shared" ref="C24:C27" si="4">0</f>
        <v>0</v>
      </c>
      <c r="D24" s="9">
        <f>ifna(VLOOKUP(A24, marco23!$A$97:$B$119, 2, FALSE),0)</f>
        <v>40.83</v>
      </c>
      <c r="E24" s="9">
        <f>ifna(VLOOKUP(A24, abril23!$A$82:$B$103, 2, FALSE),0)</f>
        <v>0</v>
      </c>
      <c r="F24" s="9">
        <f>ifna(VLOOKUP(A24, maio23!$A$95:$B$117, 2, FALSE),0)</f>
        <v>0</v>
      </c>
      <c r="G24" s="9">
        <f>ifna(VLOOKUP(A24, junho23!$A$127:$B$152, 2, FALSE),0)</f>
        <v>0</v>
      </c>
      <c r="H24" s="9">
        <f>ifna(VLOOKUP(A24, julho23!$A$139:$B$164, 2, FALSE),0)</f>
        <v>0</v>
      </c>
      <c r="I24" s="9">
        <f>ifna(VLOOKUP(A24, Agosto23!$A$127:$B$152, 2, FALSE),0)</f>
        <v>0</v>
      </c>
      <c r="J24" s="9">
        <f>ifna(VLOOKUP(A24, setembro23!$A$125:$B$151, 2, FALSE),0)</f>
        <v>0</v>
      </c>
      <c r="K24" s="9">
        <f>ifna(VLOOKUP(A24, outubro23!$A$121:$B$146, 2, FALSE),0)</f>
        <v>0</v>
      </c>
      <c r="L24" s="9">
        <f>ifna(VLOOKUP(A24, novembro23!$A$121:$B$146, 2, FALSE),0)</f>
        <v>0</v>
      </c>
      <c r="M24" s="9">
        <f>ifna(VLOOKUP(A24, Dezembro23!$A$127:$B$152, 2, FALSE),0)</f>
        <v>0</v>
      </c>
      <c r="N24" s="9">
        <f>ifna(VLOOKUP(A24, janneiro24!$A$127:$B$152, 2, FALSE),0)</f>
        <v>0</v>
      </c>
      <c r="O24" s="9">
        <f>ifna(VLOOKUP(A24, fevereiro24!$A$127:$B$152, 2, FALSE),0)</f>
        <v>0</v>
      </c>
      <c r="P24" s="9">
        <f>ifna(VLOOKUP(A24, marco24!$A$127:$B$152, 2, FALSE),0)</f>
        <v>0</v>
      </c>
      <c r="Q24" s="9">
        <f>ifna(VLOOKUP(A24, abril24!$A$127:$B$152, 2, FALSE),0)</f>
        <v>0</v>
      </c>
      <c r="R24" s="9">
        <f>ifna(VLOOKUP(A24, maio24!$A$127:$B$152, 2, FALSE),0)</f>
        <v>0</v>
      </c>
      <c r="S24" s="9">
        <f>ifna(VLOOKUP(A24, 'jun24'!$A$127:$B$152, 2, FALSE),0)</f>
        <v>0</v>
      </c>
      <c r="T24" s="9">
        <f>ifna(VLOOKUP(A24, 'set24'!$A$127:$B$152, 2, FALSE),0)</f>
        <v>0</v>
      </c>
      <c r="U24" s="9">
        <f>ifna(VLOOKUP(A24, 'jan25'!$A$127:$B$152, 2, FALSE),0)</f>
        <v>0</v>
      </c>
      <c r="V24" s="10">
        <f>ifna(VLOOKUP(A24, 'fev25'!$A$132:$B$157, 2, FALSE),0)</f>
        <v>0</v>
      </c>
      <c r="W24" s="10">
        <f>ifna(VLOOKUP(A24, 'mar25'!$A$125:$B$153, 2, FALSE),0)</f>
        <v>0</v>
      </c>
      <c r="X24" s="10">
        <f>ifna(VLOOKUP(A24, 'abr25'!$A$131:$B$157, 2, FALSE),0)</f>
        <v>0</v>
      </c>
      <c r="Y24" s="10">
        <f>ifna(VLOOKUP(A24, 'mai25'!$A$142:$B$174, 2, FALSE),0)</f>
        <v>0</v>
      </c>
      <c r="Z24" s="10">
        <f>ifna(VLOOKUP(A24, 'jun25'!$A$141:$B$169, 2, FALSE),0)</f>
        <v>0</v>
      </c>
      <c r="AA24" s="10">
        <f>ifna(VLOOKUP(A24, 'jul25'!$A$141:$B$170, 2, FALSE),0)</f>
        <v>0</v>
      </c>
      <c r="AB24" s="10">
        <f>ifna(VLOOKUP(A24, 'ago25'!$A$141:$B$170, 2, FALSE),0)</f>
        <v>0</v>
      </c>
      <c r="AC24" s="11">
        <f t="shared" si="1"/>
        <v>0</v>
      </c>
    </row>
    <row r="25">
      <c r="A25" s="15" t="s">
        <v>37</v>
      </c>
      <c r="B25" s="14">
        <f t="shared" si="3"/>
        <v>0</v>
      </c>
      <c r="C25" s="14">
        <f t="shared" si="4"/>
        <v>0</v>
      </c>
      <c r="D25" s="9">
        <f>ifna(VLOOKUP(A25, marco23!$A$97:$B$119, 2, FALSE),0)</f>
        <v>64.9</v>
      </c>
      <c r="E25" s="9">
        <f>ifna(VLOOKUP(A25, abril23!$A$82:$B$103, 2, FALSE),0)</f>
        <v>0</v>
      </c>
      <c r="F25" s="9">
        <f>ifna(VLOOKUP(A25, maio23!$A$95:$B$117, 2, FALSE),0)</f>
        <v>0</v>
      </c>
      <c r="G25" s="9">
        <f>ifna(VLOOKUP(A25, junho23!$A$127:$B$152, 2, FALSE),0)</f>
        <v>0</v>
      </c>
      <c r="H25" s="9">
        <f>ifna(VLOOKUP(A25, julho23!$A$139:$B$164, 2, FALSE),0)</f>
        <v>0</v>
      </c>
      <c r="I25" s="9">
        <f>ifna(VLOOKUP(A25, Agosto23!$A$127:$B$152, 2, FALSE),0)</f>
        <v>0</v>
      </c>
      <c r="J25" s="9">
        <f>ifna(VLOOKUP(A25, setembro23!$A$125:$B$151, 2, FALSE),0)</f>
        <v>0</v>
      </c>
      <c r="K25" s="9">
        <f>ifna(VLOOKUP(A25, outubro23!$A$121:$B$146, 2, FALSE),0)</f>
        <v>0</v>
      </c>
      <c r="L25" s="9">
        <f>ifna(VLOOKUP(A25, novembro23!$A$121:$B$146, 2, FALSE),0)</f>
        <v>0</v>
      </c>
      <c r="M25" s="9">
        <f>ifna(VLOOKUP(A25, Dezembro23!$A$127:$B$152, 2, FALSE),0)</f>
        <v>0</v>
      </c>
      <c r="N25" s="9">
        <f>ifna(VLOOKUP(A25, janneiro24!$A$127:$B$152, 2, FALSE),0)</f>
        <v>0</v>
      </c>
      <c r="O25" s="9">
        <f>ifna(VLOOKUP(A25, fevereiro24!$A$127:$B$152, 2, FALSE),0)</f>
        <v>0</v>
      </c>
      <c r="P25" s="9">
        <f>ifna(VLOOKUP(A25, marco24!$A$127:$B$152, 2, FALSE),0)</f>
        <v>0</v>
      </c>
      <c r="Q25" s="9">
        <f>ifna(VLOOKUP(A25, abril24!$A$127:$B$152, 2, FALSE),0)</f>
        <v>0</v>
      </c>
      <c r="R25" s="9">
        <f>ifna(VLOOKUP(A25, maio24!$A$127:$B$152, 2, FALSE),0)</f>
        <v>0</v>
      </c>
      <c r="S25" s="9">
        <f>ifna(VLOOKUP(A25, 'jun24'!$A$127:$B$152, 2, FALSE),0)</f>
        <v>0</v>
      </c>
      <c r="T25" s="9">
        <f>ifna(VLOOKUP(A25, 'set24'!$A$127:$B$152, 2, FALSE),0)</f>
        <v>0</v>
      </c>
      <c r="U25" s="9">
        <f>ifna(VLOOKUP(A25, 'jan25'!$A$127:$B$152, 2, FALSE),0)</f>
        <v>0</v>
      </c>
      <c r="V25" s="10">
        <f>ifna(VLOOKUP(A25, 'fev25'!$A$132:$B$157, 2, FALSE),0)</f>
        <v>0</v>
      </c>
      <c r="W25" s="10">
        <f>ifna(VLOOKUP(A25, 'mar25'!$A$125:$B$153, 2, FALSE),0)</f>
        <v>0</v>
      </c>
      <c r="X25" s="10">
        <f>ifna(VLOOKUP(A25, 'abr25'!$A$131:$B$157, 2, FALSE),0)</f>
        <v>0</v>
      </c>
      <c r="Y25" s="10">
        <f>ifna(VLOOKUP(A25, 'mai25'!$A$142:$B$174, 2, FALSE),0)</f>
        <v>0</v>
      </c>
      <c r="Z25" s="10">
        <f>ifna(VLOOKUP(A25, 'jun25'!$A$141:$B$169, 2, FALSE),0)</f>
        <v>0</v>
      </c>
      <c r="AA25" s="10">
        <f>ifna(VLOOKUP(A25, 'jul25'!$A$141:$B$170, 2, FALSE),0)</f>
        <v>0</v>
      </c>
      <c r="AB25" s="10">
        <f>ifna(VLOOKUP(A25, 'ago25'!$A$141:$B$170, 2, FALSE),0)</f>
        <v>0</v>
      </c>
      <c r="AC25" s="11">
        <f t="shared" si="1"/>
        <v>0</v>
      </c>
    </row>
    <row r="26">
      <c r="A26" s="7" t="s">
        <v>38</v>
      </c>
      <c r="B26" s="14">
        <f t="shared" si="3"/>
        <v>0</v>
      </c>
      <c r="C26" s="14">
        <f t="shared" si="4"/>
        <v>0</v>
      </c>
      <c r="D26" s="9">
        <f>ifna(VLOOKUP(A26, marco23!$A$97:$B$119, 2, FALSE),0)</f>
        <v>693</v>
      </c>
      <c r="E26" s="9">
        <f>ifna(VLOOKUP(A26, abril23!$A$82:$B$103, 2, FALSE),0)</f>
        <v>0</v>
      </c>
      <c r="F26" s="9">
        <f>ifna(VLOOKUP(A26, maio23!$A$95:$B$117, 2, FALSE),0)</f>
        <v>0</v>
      </c>
      <c r="G26" s="9">
        <f>ifna(VLOOKUP(A26, junho23!$A$127:$B$152, 2, FALSE),0)</f>
        <v>0</v>
      </c>
      <c r="H26" s="9">
        <f>ifna(VLOOKUP(A26, julho23!$A$139:$B$164, 2, FALSE),0)</f>
        <v>72</v>
      </c>
      <c r="I26" s="9">
        <f>ifna(VLOOKUP(A26, Agosto23!$A$127:$B$152, 2, FALSE),0)</f>
        <v>0</v>
      </c>
      <c r="J26" s="9">
        <f>ifna(VLOOKUP(A26, setembro23!$A$125:$B$151, 2, FALSE),0)</f>
        <v>0</v>
      </c>
      <c r="K26" s="9">
        <f>ifna(VLOOKUP(A26, outubro23!$A$121:$B$146, 2, FALSE),0)</f>
        <v>0</v>
      </c>
      <c r="L26" s="9">
        <f>ifna(VLOOKUP(A26, novembro23!$A$121:$B$146, 2, FALSE),0)</f>
        <v>0</v>
      </c>
      <c r="M26" s="9">
        <f>ifna(VLOOKUP(A26, Dezembro23!$A$127:$B$152, 2, FALSE),0)</f>
        <v>32</v>
      </c>
      <c r="N26" s="9">
        <f>ifna(VLOOKUP(A26, janneiro24!$A$127:$B$152, 2, FALSE),0)</f>
        <v>0</v>
      </c>
      <c r="O26" s="9">
        <f>ifna(VLOOKUP(A26, fevereiro24!$A$127:$B$152, 2, FALSE),0)</f>
        <v>0</v>
      </c>
      <c r="P26" s="9">
        <f>ifna(VLOOKUP(A26, marco24!$A$127:$B$152, 2, FALSE),0)</f>
        <v>0</v>
      </c>
      <c r="Q26" s="9">
        <f>ifna(VLOOKUP(A26, abril24!$A$127:$B$152, 2, FALSE),0)</f>
        <v>0</v>
      </c>
      <c r="R26" s="9">
        <f>ifna(VLOOKUP(A26, maio24!$A$127:$B$152, 2, FALSE),0)</f>
        <v>0</v>
      </c>
      <c r="S26" s="9">
        <f>ifna(VLOOKUP(A26, 'jun24'!$A$127:$B$152, 2, FALSE),0)</f>
        <v>0</v>
      </c>
      <c r="T26" s="9">
        <f>ifna(VLOOKUP(A26, 'set24'!$A$127:$B$152, 2, FALSE),0)</f>
        <v>0</v>
      </c>
      <c r="U26" s="9">
        <f>ifna(VLOOKUP(A26, 'jan25'!$A$127:$B$152, 2, FALSE),0)</f>
        <v>0</v>
      </c>
      <c r="V26" s="10">
        <f>ifna(VLOOKUP(A26, 'fev25'!$A$132:$B$157, 2, FALSE),0)</f>
        <v>0</v>
      </c>
      <c r="W26" s="10">
        <f>ifna(VLOOKUP(A26, 'mar25'!$A$125:$B$153, 2, FALSE),0)</f>
        <v>0</v>
      </c>
      <c r="X26" s="10">
        <f>ifna(VLOOKUP(A26, 'abr25'!$A$131:$B$157, 2, FALSE),0)</f>
        <v>0</v>
      </c>
      <c r="Y26" s="10">
        <f>ifna(VLOOKUP(A26, 'mai25'!$A$142:$B$174, 2, FALSE),0)</f>
        <v>80.38</v>
      </c>
      <c r="Z26" s="10">
        <f>ifna(VLOOKUP(A26, 'jun25'!$A$141:$B$169, 2, FALSE),0)</f>
        <v>0</v>
      </c>
      <c r="AA26" s="10">
        <f>ifna(VLOOKUP(A26, 'jul25'!$A$141:$B$170, 2, FALSE),0)</f>
        <v>0</v>
      </c>
      <c r="AB26" s="10">
        <f>ifna(VLOOKUP(A26, 'ago25'!$A$141:$B$170, 2, FALSE),0)</f>
        <v>0</v>
      </c>
      <c r="AC26" s="11">
        <f t="shared" si="1"/>
        <v>20.095</v>
      </c>
    </row>
    <row r="27">
      <c r="A27" s="7" t="s">
        <v>39</v>
      </c>
      <c r="B27" s="14">
        <f t="shared" si="3"/>
        <v>0</v>
      </c>
      <c r="C27" s="14">
        <f t="shared" si="4"/>
        <v>0</v>
      </c>
      <c r="D27" s="9">
        <f>ifna(VLOOKUP(A27, marco23!$A$97:$B$119, 2, FALSE),0)</f>
        <v>0</v>
      </c>
      <c r="E27" s="9">
        <f>ifna(VLOOKUP(A27, abril23!$A$82:$B$103, 2, FALSE),0)</f>
        <v>12</v>
      </c>
      <c r="F27" s="9">
        <f>ifna(VLOOKUP(A27, maio23!$A$95:$B$117, 2, FALSE),0)</f>
        <v>0</v>
      </c>
      <c r="G27" s="9">
        <f>ifna(VLOOKUP(A27, junho23!$A$127:$B$152, 2, FALSE),0)</f>
        <v>36</v>
      </c>
      <c r="H27" s="9">
        <f>ifna(VLOOKUP(A27, julho23!$A$139:$B$164, 2, FALSE),0)</f>
        <v>8</v>
      </c>
      <c r="I27" s="9">
        <f>ifna(VLOOKUP(A27, Agosto23!$A$127:$B$152, 2, FALSE),0)</f>
        <v>29</v>
      </c>
      <c r="J27" s="9">
        <f>ifna(VLOOKUP(A27, setembro23!$A$125:$B$151, 2, FALSE),0)</f>
        <v>38.4</v>
      </c>
      <c r="K27" s="9">
        <f>ifna(VLOOKUP(A27, outubro23!$A$121:$B$146, 2, FALSE),0)</f>
        <v>34</v>
      </c>
      <c r="L27" s="9">
        <f>ifna(VLOOKUP(A27, novembro23!$A$121:$B$146, 2, FALSE),0)</f>
        <v>38</v>
      </c>
      <c r="M27" s="9">
        <f>ifna(VLOOKUP(A27, Dezembro23!$A$127:$B$152, 2, FALSE),0)</f>
        <v>46.4</v>
      </c>
      <c r="N27" s="9">
        <f>ifna(VLOOKUP(A27, janneiro24!$A$127:$B$152, 2, FALSE),0)</f>
        <v>24.6</v>
      </c>
      <c r="O27" s="9">
        <f>ifna(VLOOKUP(A27, fevereiro24!$A$127:$B$152, 2, FALSE),0)</f>
        <v>24.6</v>
      </c>
      <c r="P27" s="9">
        <f>ifna(VLOOKUP(A27, marco24!$A$127:$B$152, 2, FALSE),0)</f>
        <v>51.5</v>
      </c>
      <c r="Q27" s="9">
        <f>ifna(VLOOKUP(A27, abril24!$A$127:$B$152, 2, FALSE),0)</f>
        <v>24</v>
      </c>
      <c r="R27" s="9">
        <f>ifna(VLOOKUP(A27, maio24!$A$127:$B$152, 2, FALSE),0)</f>
        <v>42</v>
      </c>
      <c r="S27" s="9">
        <f>ifna(VLOOKUP(A27, 'jun24'!$A$127:$B$152, 2, FALSE),0)</f>
        <v>69.99</v>
      </c>
      <c r="T27" s="9">
        <f>ifna(VLOOKUP(A27, 'set24'!$A$127:$B$152, 2, FALSE),0)</f>
        <v>27</v>
      </c>
      <c r="U27" s="9">
        <f>ifna(VLOOKUP(A27, 'jan25'!$A$127:$B$152, 2, FALSE),0)</f>
        <v>0</v>
      </c>
      <c r="V27" s="10">
        <f>ifna(VLOOKUP(A27, 'fev25'!$A$132:$B$157, 2, FALSE),0)</f>
        <v>38</v>
      </c>
      <c r="W27" s="10">
        <f>ifna(VLOOKUP(A27, 'mar25'!$A$125:$B$153, 2, FALSE),0)</f>
        <v>48</v>
      </c>
      <c r="X27" s="10">
        <f>ifna(VLOOKUP(A27, 'abr25'!$A$131:$B$157, 2, FALSE),0)</f>
        <v>56.13</v>
      </c>
      <c r="Y27" s="10">
        <f>ifna(VLOOKUP(A27, 'mai25'!$A$142:$B$174, 2, FALSE),0)</f>
        <v>82.8</v>
      </c>
      <c r="Z27" s="10">
        <f>ifna(VLOOKUP(A27, 'jun25'!$A$141:$B$169, 2, FALSE),0)</f>
        <v>60.7</v>
      </c>
      <c r="AA27" s="10">
        <f>ifna(VLOOKUP(A27, 'jul25'!$A$141:$B$170, 2, FALSE),0)</f>
        <v>64</v>
      </c>
      <c r="AB27" s="10">
        <f>ifna(VLOOKUP(A27, 'ago25'!$A$141:$B$170, 2, FALSE),0)</f>
        <v>439.35</v>
      </c>
      <c r="AC27" s="11">
        <f t="shared" si="1"/>
        <v>65.9075</v>
      </c>
    </row>
    <row r="28">
      <c r="A28" s="17" t="s">
        <v>40</v>
      </c>
      <c r="D28" s="9">
        <f>ifna(VLOOKUP(A28, marco23!$A$97:$B$119, 2, FALSE),0)</f>
        <v>0</v>
      </c>
      <c r="E28" s="9">
        <f>ifna(VLOOKUP(A28, abril23!$A$82:$B$103, 2, FALSE),0)</f>
        <v>0</v>
      </c>
      <c r="F28" s="9">
        <f>ifna(VLOOKUP(A28, maio23!$A$95:$B$117, 2, FALSE),0)</f>
        <v>0</v>
      </c>
      <c r="G28" s="9">
        <f>ifna(VLOOKUP(A28, junho23!$A$127:$B$152, 2, FALSE),0)</f>
        <v>145</v>
      </c>
      <c r="H28" s="9">
        <f>ifna(VLOOKUP(A28, julho23!$A$139:$B$164, 2, FALSE),0)</f>
        <v>644.16</v>
      </c>
      <c r="I28" s="9">
        <f>ifna(VLOOKUP(A28, Agosto23!$A$127:$B$152, 2, FALSE),0)</f>
        <v>0</v>
      </c>
      <c r="J28" s="9">
        <f>ifna(VLOOKUP(A28, setembro23!$A$125:$B$151, 2, FALSE),0)</f>
        <v>0</v>
      </c>
      <c r="K28" s="9">
        <f>ifna(VLOOKUP(A28, outubro23!$A$121:$B$146, 2, FALSE),0)</f>
        <v>0</v>
      </c>
      <c r="L28" s="9">
        <f>ifna(VLOOKUP(A28, novembro23!$A$121:$B$146, 2, FALSE),0)</f>
        <v>0</v>
      </c>
      <c r="M28" s="9">
        <f>ifna(VLOOKUP(A28, Dezembro23!$A$127:$B$152, 2, FALSE),0)</f>
        <v>0</v>
      </c>
      <c r="N28" s="9">
        <f>ifna(VLOOKUP(A28, janneiro24!$A$127:$B$152, 2, FALSE),0)</f>
        <v>136.2</v>
      </c>
      <c r="O28" s="9">
        <f>ifna(VLOOKUP(A28, fevereiro24!$A$127:$B$152, 2, FALSE),0)</f>
        <v>136.2</v>
      </c>
      <c r="P28" s="9">
        <f>ifna(VLOOKUP(A28, marco24!$A$127:$B$152, 2, FALSE),0)</f>
        <v>0</v>
      </c>
      <c r="Q28" s="9">
        <f>ifna(VLOOKUP(A28, abril24!$A$127:$B$152, 2, FALSE),0)</f>
        <v>0</v>
      </c>
      <c r="R28" s="9">
        <f>ifna(VLOOKUP(A28, maio24!$A$127:$B$152, 2, FALSE),0)</f>
        <v>0</v>
      </c>
      <c r="S28" s="9">
        <f>ifna(VLOOKUP(A28, 'jun24'!$A$127:$B$152, 2, FALSE),0)</f>
        <v>0</v>
      </c>
      <c r="T28" s="9">
        <f>ifna(VLOOKUP(A28, 'set24'!$A$127:$B$152, 2, FALSE),0)</f>
        <v>0</v>
      </c>
      <c r="U28" s="9">
        <f>ifna(VLOOKUP(A28, 'jan25'!$A$127:$B$152, 2, FALSE),0)</f>
        <v>0</v>
      </c>
      <c r="V28" s="10">
        <f>ifna(VLOOKUP(A28, 'fev25'!$A$132:$B$157, 2, FALSE),0)</f>
        <v>0</v>
      </c>
      <c r="W28" s="10">
        <f>ifna(VLOOKUP(A28, 'mar25'!$A$125:$B$153, 2, FALSE),0)</f>
        <v>81.4</v>
      </c>
      <c r="X28" s="10">
        <f>ifna(VLOOKUP(A28, 'abr25'!$A$131:$B$157, 2, FALSE),0)</f>
        <v>109</v>
      </c>
      <c r="Y28" s="10">
        <f>ifna(VLOOKUP(A28, 'mai25'!$A$142:$B$174, 2, FALSE),0)</f>
        <v>26.1</v>
      </c>
      <c r="Z28" s="10">
        <f>ifna(VLOOKUP(A28, 'jun25'!$A$141:$B$169, 2, FALSE),0)</f>
        <v>0</v>
      </c>
      <c r="AA28" s="10">
        <f>ifna(VLOOKUP(A28, 'jul25'!$A$141:$B$170, 2, FALSE),0)</f>
        <v>19.99</v>
      </c>
      <c r="AB28" s="10">
        <f>ifna(VLOOKUP(A28, 'ago25'!$A$141:$B$170, 2, FALSE),0)</f>
        <v>77.8</v>
      </c>
      <c r="AC28" s="11">
        <f t="shared" si="1"/>
        <v>38.7725</v>
      </c>
    </row>
    <row r="29">
      <c r="A29" s="18" t="s">
        <v>41</v>
      </c>
      <c r="D29" s="9">
        <f>ifna(VLOOKUP(A29, marco23!$A$97:$B$119, 2, FALSE),0)</f>
        <v>0</v>
      </c>
      <c r="E29" s="9">
        <f>ifna(VLOOKUP(A29, abril23!$A$82:$B$103, 2, FALSE),0)</f>
        <v>0</v>
      </c>
      <c r="F29" s="9">
        <f>ifna(VLOOKUP(A29, maio23!$A$95:$B$117, 2, FALSE),0)</f>
        <v>0</v>
      </c>
      <c r="G29" s="9">
        <f>ifna(VLOOKUP(A29, junho23!$A$127:$B$152, 2, FALSE),0)</f>
        <v>62.9</v>
      </c>
      <c r="H29" s="9">
        <f>ifna(VLOOKUP(A29, julho23!$A$139:$B$164, 2, FALSE),0)</f>
        <v>4</v>
      </c>
      <c r="I29" s="9">
        <f>ifna(VLOOKUP(A29, Agosto23!$A$127:$B$152, 2, FALSE),0)</f>
        <v>45.5</v>
      </c>
      <c r="J29" s="9">
        <f>ifna(VLOOKUP(A29, setembro23!$A$125:$B$151, 2, FALSE),0)</f>
        <v>50</v>
      </c>
      <c r="K29" s="9">
        <f>ifna(VLOOKUP(A29, outubro23!$A$121:$B$146, 2, FALSE),0)</f>
        <v>70.84</v>
      </c>
      <c r="L29" s="9">
        <f>ifna(VLOOKUP(A29, novembro23!$A$121:$B$146, 2, FALSE),0)</f>
        <v>418.57</v>
      </c>
      <c r="M29" s="9">
        <f>ifna(VLOOKUP(A29, Dezembro23!$A$127:$B$152, 2, FALSE),0)</f>
        <v>28</v>
      </c>
      <c r="N29" s="9">
        <f>ifna(VLOOKUP(A29, janneiro24!$A$127:$B$152, 2, FALSE),0)</f>
        <v>0</v>
      </c>
      <c r="O29" s="9">
        <f>ifna(VLOOKUP(A29, fevereiro24!$A$127:$B$152, 2, FALSE),0)</f>
        <v>0</v>
      </c>
      <c r="P29" s="9">
        <f>ifna(VLOOKUP(A29, marco24!$A$127:$B$152, 2, FALSE),0)</f>
        <v>279.9</v>
      </c>
      <c r="Q29" s="9">
        <f>ifna(VLOOKUP(A29, abril24!$A$127:$B$152, 2, FALSE),0)</f>
        <v>455.46</v>
      </c>
      <c r="R29" s="9">
        <f>ifna(VLOOKUP(A29, maio24!$A$127:$B$152, 2, FALSE),0)</f>
        <v>326.14</v>
      </c>
      <c r="S29" s="9">
        <f>ifna(VLOOKUP(A29, 'jun24'!$A$127:$B$152, 2, FALSE),0)</f>
        <v>88.48</v>
      </c>
      <c r="T29" s="9">
        <f>ifna(VLOOKUP(A29, 'set24'!$A$127:$B$152, 2, FALSE),0)</f>
        <v>0</v>
      </c>
      <c r="U29" s="9">
        <f>ifna(VLOOKUP(A29, 'jan25'!$A$127:$B$152, 2, FALSE),0)</f>
        <v>0</v>
      </c>
      <c r="V29" s="10">
        <f>ifna(VLOOKUP(A29, 'fev25'!$A$132:$B$157, 2, FALSE),0)</f>
        <v>1052.36</v>
      </c>
      <c r="W29" s="10">
        <f>ifna(VLOOKUP(A29, 'mar25'!$A$125:$B$153, 2, FALSE),0)</f>
        <v>20</v>
      </c>
      <c r="X29" s="10">
        <f>ifna(VLOOKUP(A29, 'abr25'!$A$131:$B$157, 2, FALSE),0)</f>
        <v>20</v>
      </c>
      <c r="Y29" s="10">
        <f>ifna(VLOOKUP(A29, 'mai25'!$A$142:$B$174, 2, FALSE),0)</f>
        <v>550.99</v>
      </c>
      <c r="Z29" s="10">
        <f>ifna(VLOOKUP(A29, 'jun25'!$A$141:$B$169, 2, FALSE),0)</f>
        <v>20</v>
      </c>
      <c r="AA29" s="10">
        <f>ifna(VLOOKUP(A29, 'jul25'!$A$141:$B$170, 2, FALSE),0)</f>
        <v>93.59</v>
      </c>
      <c r="AB29" s="10">
        <f>ifna(VLOOKUP(A29, 'ago25'!$A$141:$B$170, 2, FALSE),0)</f>
        <v>20</v>
      </c>
      <c r="AC29" s="11">
        <f t="shared" si="1"/>
        <v>171.145</v>
      </c>
    </row>
    <row r="30">
      <c r="A30" s="19" t="s">
        <v>42</v>
      </c>
      <c r="D30" s="9">
        <f>ifna(VLOOKUP(A30, marco23!$A$97:$B$119, 2, FALSE),0)</f>
        <v>0</v>
      </c>
      <c r="E30" s="9">
        <f>ifna(VLOOKUP(A30, abril23!$A$82:$B$103, 2, FALSE),0)</f>
        <v>650</v>
      </c>
      <c r="F30" s="9">
        <f>ifna(VLOOKUP(A30, maio23!$A$95:$B$117, 2, FALSE),0)</f>
        <v>2097</v>
      </c>
      <c r="G30" s="9">
        <f>ifna(VLOOKUP(A30, junho23!$A$127:$B$152, 2, FALSE),0)</f>
        <v>136.68</v>
      </c>
      <c r="H30" s="9">
        <f>ifna(VLOOKUP(A30, julho23!$A$139:$B$164, 2, FALSE),0)</f>
        <v>312</v>
      </c>
      <c r="I30" s="9">
        <f>ifna(VLOOKUP(A30, Agosto23!$A$127:$B$152, 2, FALSE),0)</f>
        <v>168.66</v>
      </c>
      <c r="J30" s="9">
        <f>ifna(VLOOKUP(A30, setembro23!$A$125:$B$151, 2, FALSE),0)</f>
        <v>999.28</v>
      </c>
      <c r="K30" s="9">
        <f>ifna(VLOOKUP(A30, outubro23!$A$121:$B$146, 2, FALSE),0)</f>
        <v>610</v>
      </c>
      <c r="L30" s="9">
        <f>ifna(VLOOKUP(A30, novembro23!$A$121:$B$146, 2, FALSE),0)</f>
        <v>51</v>
      </c>
      <c r="M30" s="9">
        <f>ifna(VLOOKUP(A30, Dezembro23!$A$127:$B$152, 2, FALSE),0)</f>
        <v>1087</v>
      </c>
      <c r="N30" s="9">
        <f>ifna(VLOOKUP(A30, janneiro24!$A$127:$B$152, 2, FALSE),0)</f>
        <v>0</v>
      </c>
      <c r="O30" s="9">
        <f>ifna(VLOOKUP(A30, fevereiro24!$A$127:$B$152, 2, FALSE),0)</f>
        <v>0</v>
      </c>
      <c r="P30" s="9">
        <f>ifna(VLOOKUP(A30, marco24!$A$127:$B$152, 2, FALSE),0)</f>
        <v>1357</v>
      </c>
      <c r="Q30" s="9">
        <f>ifna(VLOOKUP(A30, abril24!$A$127:$B$152, 2, FALSE),0)</f>
        <v>0</v>
      </c>
      <c r="R30" s="9">
        <f>ifna(VLOOKUP(A30, maio24!$A$127:$B$152, 2, FALSE),0)</f>
        <v>0</v>
      </c>
      <c r="S30" s="9">
        <f>ifna(VLOOKUP(A30, 'jun24'!$A$127:$B$152, 2, FALSE),0)</f>
        <v>0</v>
      </c>
      <c r="T30" s="9">
        <f>ifna(VLOOKUP(A30, 'set24'!$A$127:$B$152, 2, FALSE),0)</f>
        <v>411</v>
      </c>
      <c r="U30" s="9">
        <f>ifna(VLOOKUP(A30, 'jan25'!$A$127:$B$152, 2, FALSE),0)</f>
        <v>0</v>
      </c>
      <c r="V30" s="10">
        <f>ifna(VLOOKUP(A30, 'fev25'!$A$132:$B$157, 2, FALSE),0)</f>
        <v>0</v>
      </c>
      <c r="W30" s="10">
        <f>ifna(VLOOKUP(A30, 'mar25'!$A$125:$B$153, 2, FALSE),0)</f>
        <v>208.46</v>
      </c>
      <c r="X30" s="10">
        <f>ifna(VLOOKUP(A30, 'abr25'!$A$131:$B$157, 2, FALSE),0)</f>
        <v>489.75</v>
      </c>
      <c r="Y30" s="10">
        <f>ifna(VLOOKUP(A30, 'mai25'!$A$142:$B$174, 2, FALSE),0)</f>
        <v>0</v>
      </c>
      <c r="Z30" s="10">
        <f>ifna(VLOOKUP(A30, 'jun25'!$A$141:$B$169, 2, FALSE),0)</f>
        <v>45</v>
      </c>
      <c r="AA30" s="10">
        <f>ifna(VLOOKUP(A30, 'jul25'!$A$141:$B$170, 2, FALSE),0)</f>
        <v>0</v>
      </c>
      <c r="AB30" s="10">
        <f>ifna(VLOOKUP(A30, 'ago25'!$A$141:$B$170, 2, FALSE),0)</f>
        <v>68</v>
      </c>
      <c r="AC30" s="11">
        <f t="shared" si="1"/>
        <v>133.6875</v>
      </c>
    </row>
    <row r="31">
      <c r="A31" s="1" t="s">
        <v>43</v>
      </c>
      <c r="D31" s="9">
        <f>ifna(VLOOKUP(A31, marco23!$A$97:$B$119, 2, FALSE),0)</f>
        <v>0</v>
      </c>
      <c r="E31" s="9">
        <f>ifna(VLOOKUP(A31, abril23!$A$82:$B$103, 2, FALSE),0)</f>
        <v>0</v>
      </c>
      <c r="F31" s="9">
        <f>ifna(VLOOKUP(A31, maio23!$A$95:$B$117, 2, FALSE),0)</f>
        <v>0</v>
      </c>
      <c r="G31" s="9">
        <f>ifna(VLOOKUP(A31, junho23!$A$127:$B$152, 2, FALSE),0)</f>
        <v>0</v>
      </c>
      <c r="H31" s="9">
        <f>ifna(VLOOKUP(A31, julho23!$A$139:$B$164, 2, FALSE),0)</f>
        <v>3816.74</v>
      </c>
      <c r="I31" s="9">
        <f>ifna(VLOOKUP(A31, Agosto23!$A$127:$B$152, 2, FALSE),0)</f>
        <v>0</v>
      </c>
      <c r="J31" s="9">
        <f>ifna(VLOOKUP(A31, setembro23!$A$125:$B$151, 2, FALSE),0)</f>
        <v>160</v>
      </c>
      <c r="K31" s="9">
        <f>ifna(VLOOKUP(A31, outubro23!$A$121:$B$146, 2, FALSE),0)</f>
        <v>0</v>
      </c>
      <c r="L31" s="9">
        <f>ifna(VLOOKUP(A31, novembro23!$A$121:$B$146, 2, FALSE),0)</f>
        <v>0</v>
      </c>
      <c r="M31" s="9">
        <f>ifna(VLOOKUP(A31, Dezembro23!$A$127:$B$152, 2, FALSE),0)</f>
        <v>0</v>
      </c>
      <c r="N31" s="9">
        <f>ifna(VLOOKUP(A31, janneiro24!$A$127:$B$152, 2, FALSE),0)</f>
        <v>0</v>
      </c>
      <c r="O31" s="9">
        <f>ifna(VLOOKUP(A31, fevereiro24!$A$127:$B$152, 2, FALSE),0)</f>
        <v>0</v>
      </c>
      <c r="P31" s="9">
        <f>ifna(VLOOKUP(A31, marco24!$A$127:$B$152, 2, FALSE),0)</f>
        <v>0</v>
      </c>
      <c r="Q31" s="9">
        <f>ifna(VLOOKUP(A31, abril24!$A$127:$B$152, 2, FALSE),0)</f>
        <v>0</v>
      </c>
      <c r="R31" s="9">
        <f>ifna(VLOOKUP(A31, maio24!$A$127:$B$152, 2, FALSE),0)</f>
        <v>0</v>
      </c>
      <c r="S31" s="9">
        <f>ifna(VLOOKUP(A31, 'jun24'!$A$127:$B$152, 2, FALSE),0)</f>
        <v>0</v>
      </c>
      <c r="T31" s="9">
        <f>ifna(VLOOKUP(A31, 'set24'!$A$127:$B$152, 2, FALSE),0)</f>
        <v>0</v>
      </c>
      <c r="U31" s="9">
        <f>ifna(VLOOKUP(A31, 'jan25'!$A$127:$B$152, 2, FALSE),0)</f>
        <v>0</v>
      </c>
      <c r="V31" s="10">
        <f>ifna(VLOOKUP(A31, 'fev25'!$A$132:$B$157, 2, FALSE),0)</f>
        <v>0</v>
      </c>
      <c r="W31" s="10">
        <f>ifna(VLOOKUP(A31, 'mar25'!$A$125:$B$153, 2, FALSE),0)</f>
        <v>0</v>
      </c>
      <c r="X31" s="10">
        <f>ifna(VLOOKUP(A31, 'abr25'!$A$131:$B$157, 2, FALSE),0)</f>
        <v>0</v>
      </c>
      <c r="Y31" s="10">
        <f>ifna(VLOOKUP(A31, 'mai25'!$A$142:$B$174, 2, FALSE),0)</f>
        <v>0</v>
      </c>
      <c r="Z31" s="10">
        <f>ifna(VLOOKUP(A31, 'jun25'!$A$141:$B$169, 2, FALSE),0)</f>
        <v>0</v>
      </c>
      <c r="AA31" s="10">
        <f>ifna(VLOOKUP(A31, 'jul25'!$A$141:$B$170, 2, FALSE),0)</f>
        <v>0</v>
      </c>
      <c r="AB31" s="10">
        <f>ifna(VLOOKUP(A31, 'ago25'!$A$141:$B$170, 2, FALSE),0)</f>
        <v>0</v>
      </c>
      <c r="AC31" s="11">
        <f t="shared" si="1"/>
        <v>0</v>
      </c>
    </row>
    <row r="32">
      <c r="A32" s="1" t="s">
        <v>44</v>
      </c>
      <c r="D32" s="9">
        <f>ifna(VLOOKUP(A32, marco23!$A$97:$B$119, 2, FALSE),0)</f>
        <v>0</v>
      </c>
      <c r="E32" s="9">
        <f>ifna(VLOOKUP(B32, marco23!$A$97:$B$119, 2, FALSE),0)</f>
        <v>0</v>
      </c>
      <c r="F32" s="9">
        <f>ifna(VLOOKUP(C32, marco23!$A$97:$B$119, 2, FALSE),0)</f>
        <v>0</v>
      </c>
      <c r="G32" s="9">
        <f>ifna(VLOOKUP(D32, marco23!$A$97:$B$119, 2, FALSE),0)</f>
        <v>0</v>
      </c>
      <c r="H32" s="9">
        <f>ifna(VLOOKUP(E32, marco23!$A$97:$B$119, 2, FALSE),0)</f>
        <v>0</v>
      </c>
      <c r="I32" s="9">
        <f>ifna(VLOOKUP(F32, marco23!$A$97:$B$119, 2, FALSE),0)</f>
        <v>0</v>
      </c>
      <c r="J32" s="9">
        <f>ifna(VLOOKUP(G32, marco23!$A$97:$B$119, 2, FALSE),0)</f>
        <v>0</v>
      </c>
      <c r="K32" s="9">
        <f>ifna(VLOOKUP(H32, marco23!$A$97:$B$119, 2, FALSE),0)</f>
        <v>0</v>
      </c>
      <c r="L32" s="9">
        <f>ifna(VLOOKUP(I32, marco23!$A$97:$B$119, 2, FALSE),0)</f>
        <v>0</v>
      </c>
      <c r="M32" s="9">
        <f>ifna(VLOOKUP(J32, marco23!$A$97:$B$119, 2, FALSE),0)</f>
        <v>0</v>
      </c>
      <c r="N32" s="9">
        <f>ifna(VLOOKUP(K32, marco23!$A$97:$B$119, 2, FALSE),0)</f>
        <v>0</v>
      </c>
      <c r="O32" s="9">
        <f>ifna(VLOOKUP(L32, marco23!$A$97:$B$119, 2, FALSE),0)</f>
        <v>0</v>
      </c>
      <c r="P32" s="9">
        <f>ifna(VLOOKUP(M32, marco23!$A$97:$B$119, 2, FALSE),0)</f>
        <v>0</v>
      </c>
      <c r="Q32" s="9">
        <f>ifna(VLOOKUP(A32, abril24!$A$127:$B$152, 2, FALSE),0)</f>
        <v>0</v>
      </c>
      <c r="R32" s="9">
        <f>ifna(VLOOKUP(A32, maio24!$A$127:$B$152, 2, FALSE),0)</f>
        <v>591.51</v>
      </c>
      <c r="S32" s="9">
        <f>ifna(VLOOKUP(A32, 'jun24'!$A$127:$B$152, 2, FALSE),0)</f>
        <v>0</v>
      </c>
      <c r="T32" s="9">
        <f>ifna(VLOOKUP(A32, 'set24'!$A$127:$B$152, 2, FALSE),0)</f>
        <v>0</v>
      </c>
      <c r="U32" s="9">
        <f>ifna(VLOOKUP(A32, 'jan25'!$A$127:$B$152, 2, FALSE),0)</f>
        <v>0</v>
      </c>
      <c r="V32" s="10">
        <f>ifna(VLOOKUP(A32, 'fev25'!$A$132:$B$157, 2, FALSE),0)</f>
        <v>111.28</v>
      </c>
      <c r="W32" s="10">
        <f>ifna(VLOOKUP(A32, 'mar25'!$A$125:$B$153, 2, FALSE),0)</f>
        <v>0</v>
      </c>
      <c r="X32" s="10">
        <f>ifna(VLOOKUP(A32, 'abr25'!$A$131:$B$157, 2, FALSE),0)</f>
        <v>0</v>
      </c>
      <c r="Y32" s="10">
        <f>ifna(VLOOKUP(A32, 'mai25'!$A$142:$B$174, 2, FALSE),0)</f>
        <v>1596.5</v>
      </c>
      <c r="Z32" s="10">
        <f>ifna(VLOOKUP(A32, 'jun25'!$A$141:$B$169, 2, FALSE),0)</f>
        <v>13.8</v>
      </c>
      <c r="AA32" s="10">
        <f>ifna(VLOOKUP(A32, 'jul25'!$A$141:$B$170, 2, FALSE),0)</f>
        <v>297.52</v>
      </c>
      <c r="AB32" s="10">
        <f>ifna(VLOOKUP(A32, 'ago25'!$A$141:$B$170, 2, FALSE),0)</f>
        <v>248.79</v>
      </c>
      <c r="AC32" s="11">
        <f t="shared" si="1"/>
        <v>476.955</v>
      </c>
    </row>
    <row r="33">
      <c r="A33" s="1" t="s">
        <v>45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ifna(VLOOKUP(A33, 'jan25'!$A$127:$B$152, 2, FALSE),0)</f>
        <v>0</v>
      </c>
      <c r="V33" s="10">
        <f>ifna(VLOOKUP(A33, 'fev25'!$A$132:$B$157, 2, FALSE),0)</f>
        <v>100</v>
      </c>
      <c r="W33" s="10">
        <f>ifna(VLOOKUP(A33, 'mar25'!$A$125:$B$153, 2, FALSE),0)</f>
        <v>630</v>
      </c>
      <c r="X33" s="10">
        <f>ifna(VLOOKUP(A33, 'abr25'!$A$131:$B$157, 2, FALSE),0)</f>
        <v>600</v>
      </c>
      <c r="Y33" s="10">
        <f>ifna(VLOOKUP(A33, 'mai25'!$A$142:$B$174, 2, FALSE),0)</f>
        <v>150</v>
      </c>
      <c r="Z33" s="10">
        <f>ifna(VLOOKUP(A33, 'jun25'!$A$141:$B$169, 2, FALSE),0)</f>
        <v>778</v>
      </c>
      <c r="AA33" s="10">
        <f>ifna(VLOOKUP(A33, 'jul25'!$A$141:$B$170, 2, FALSE),0)</f>
        <v>500</v>
      </c>
      <c r="AB33" s="10">
        <f>ifna(VLOOKUP(A33, 'ago25'!$A$141:$B$170, 2, FALSE),0)</f>
        <v>1337.62</v>
      </c>
      <c r="AC33" s="11">
        <f t="shared" si="1"/>
        <v>507</v>
      </c>
    </row>
    <row r="34">
      <c r="A34" s="1" t="s">
        <v>46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>
        <f>ifna(VLOOKUP(A34, 'jan25'!$A$127:$B$152, 2, FALSE),0)</f>
        <v>0</v>
      </c>
      <c r="V34" s="10">
        <f>ifna(VLOOKUP(A34, 'fev25'!$A$132:$B$157, 2, FALSE),0)</f>
        <v>0</v>
      </c>
      <c r="W34" s="10">
        <f>ifna(VLOOKUP(A34, 'mar25'!$A$125:$B$153, 2, FALSE),0)</f>
        <v>2177.64</v>
      </c>
      <c r="X34" s="10">
        <f>ifna(VLOOKUP(A34, 'abr25'!$A$131:$B$157, 2, FALSE),0)</f>
        <v>6446.76</v>
      </c>
      <c r="Y34" s="10">
        <f>ifna(VLOOKUP(A34, 'mai25'!$A$142:$B$174, 2, FALSE),0)</f>
        <v>777.56</v>
      </c>
      <c r="Z34" s="10">
        <f>ifna(VLOOKUP(A34, 'jun25'!$A$141:$B$169, 2, FALSE),0)</f>
        <v>777.56</v>
      </c>
      <c r="AA34" s="10">
        <f>ifna(VLOOKUP(A34, 'jul25'!$A$141:$B$170, 2, FALSE),0)</f>
        <v>777.56</v>
      </c>
      <c r="AB34" s="10">
        <f>ifna(VLOOKUP(A34, 'ago25'!$A$141:$B$170, 2, FALSE),0)</f>
        <v>777.56</v>
      </c>
      <c r="AC34" s="11">
        <f t="shared" si="1"/>
        <v>2194.86</v>
      </c>
    </row>
    <row r="35">
      <c r="A35" s="1" t="s">
        <v>47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>
        <f>ifna(VLOOKUP(A35, 'jan25'!$A$127:$B$152, 2, FALSE),0)</f>
        <v>0</v>
      </c>
      <c r="V35" s="10">
        <f>ifna(VLOOKUP(A35, 'fev25'!$A$132:$B$157, 2, FALSE),0)</f>
        <v>140</v>
      </c>
      <c r="W35" s="10">
        <f>ifna(VLOOKUP(A35, 'mar25'!$A$125:$B$153, 2, FALSE),0)</f>
        <v>140</v>
      </c>
      <c r="X35" s="10">
        <f>ifna(VLOOKUP(A35, 'abr25'!$A$131:$B$157, 2, FALSE),0)</f>
        <v>140</v>
      </c>
      <c r="Y35" s="10">
        <f>ifna(VLOOKUP(A35, 'mai25'!$A$142:$B$174, 2, FALSE),0)</f>
        <v>140</v>
      </c>
      <c r="Z35" s="10">
        <f>ifna(VLOOKUP(A35, 'jun25'!$A$141:$B$169, 2, FALSE),0)</f>
        <v>140</v>
      </c>
      <c r="AA35" s="10">
        <f>ifna(VLOOKUP(A35, 'jul25'!$A$141:$B$170, 2, FALSE),0)</f>
        <v>140</v>
      </c>
      <c r="AB35" s="10">
        <f>ifna(VLOOKUP(A35, 'ago25'!$A$141:$B$170, 2, FALSE),0)</f>
        <v>0</v>
      </c>
      <c r="AC35" s="11">
        <f t="shared" si="1"/>
        <v>140</v>
      </c>
    </row>
    <row r="36">
      <c r="A36" s="1" t="s">
        <v>48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f>ifna(VLOOKUP(A36, 'jan25'!$A$127:$B$152, 2, FALSE),0)</f>
        <v>0</v>
      </c>
      <c r="V36" s="10">
        <f>ifna(VLOOKUP(A36, 'fev25'!$A$132:$B$157, 2, FALSE),0)</f>
        <v>328.57</v>
      </c>
      <c r="W36" s="10">
        <f>ifna(VLOOKUP(A36, 'mar25'!$A$125:$B$153, 2, FALSE),0)</f>
        <v>328.55</v>
      </c>
      <c r="X36" s="10">
        <f>ifna(VLOOKUP(A36, 'abr25'!$A$131:$B$157, 2, FALSE),0)</f>
        <v>0</v>
      </c>
      <c r="Y36" s="10">
        <f>ifna(VLOOKUP(A36, 'mai25'!$A$142:$B$174, 2, FALSE),0)</f>
        <v>328.55</v>
      </c>
      <c r="Z36" s="10">
        <f>ifna(VLOOKUP(A36, 'jun25'!$A$141:$B$169, 2, FALSE),0)</f>
        <v>328.55</v>
      </c>
      <c r="AA36" s="10">
        <f>ifna(VLOOKUP(A36, 'jul25'!$A$141:$B$170, 2, FALSE),0)</f>
        <v>328.55</v>
      </c>
      <c r="AB36" s="10">
        <f>ifna(VLOOKUP(A36, 'ago25'!$A$141:$B$170, 2, FALSE),0)</f>
        <v>328.55</v>
      </c>
      <c r="AC36" s="11">
        <f t="shared" si="1"/>
        <v>246.4125</v>
      </c>
    </row>
    <row r="37">
      <c r="A37" s="1" t="s">
        <v>49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>
        <f>ifna(VLOOKUP(A37, 'fev25'!$A$132:$B$157, 2, FALSE),0)</f>
        <v>0</v>
      </c>
      <c r="W37" s="10">
        <f>ifna(VLOOKUP(A37, 'mar25'!$A$125:$B$153, 2, FALSE),0)</f>
        <v>0</v>
      </c>
      <c r="X37" s="10">
        <f>ifna(VLOOKUP(A37, 'abr25'!$A$131:$B$157, 2, FALSE),0)</f>
        <v>0</v>
      </c>
      <c r="Y37" s="10">
        <f>ifna(VLOOKUP(A37, 'mai25'!$A$142:$B$174, 2, FALSE),0)</f>
        <v>0</v>
      </c>
      <c r="Z37" s="10">
        <f>ifna(VLOOKUP(A37, 'jun25'!$A$141:$B$169, 2, FALSE),0)</f>
        <v>0</v>
      </c>
      <c r="AA37" s="10">
        <f>ifna(VLOOKUP(A37, 'jul25'!$A$141:$B$170, 2, FALSE),0)</f>
        <v>0</v>
      </c>
      <c r="AB37" s="10">
        <f>ifna(VLOOKUP(A37, 'ago25'!$A$141:$B$170, 2, FALSE),0)</f>
        <v>2056</v>
      </c>
      <c r="AC37" s="11">
        <f t="shared" si="1"/>
        <v>0</v>
      </c>
    </row>
    <row r="38">
      <c r="A38" s="1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20"/>
      <c r="AC38" s="20"/>
    </row>
    <row r="39">
      <c r="A39" s="1" t="s">
        <v>50</v>
      </c>
      <c r="B39" s="8">
        <f t="shared" ref="B39:F39" si="5">SUM(B2:B27)</f>
        <v>4310.98</v>
      </c>
      <c r="C39" s="8">
        <f t="shared" si="5"/>
        <v>7991.61</v>
      </c>
      <c r="D39" s="8">
        <f t="shared" si="5"/>
        <v>7758.39</v>
      </c>
      <c r="E39" s="8">
        <f t="shared" si="5"/>
        <v>6461.7</v>
      </c>
      <c r="F39" s="8">
        <f t="shared" si="5"/>
        <v>6893.4973</v>
      </c>
      <c r="G39" s="9">
        <f>SUM(G2:G30)</f>
        <v>8260.4173</v>
      </c>
      <c r="H39" s="9">
        <f t="shared" ref="H39:K39" si="6">SUM(H2:H31)</f>
        <v>11223.3073</v>
      </c>
      <c r="I39" s="9">
        <f t="shared" si="6"/>
        <v>6681.1164</v>
      </c>
      <c r="J39" s="9">
        <f t="shared" si="6"/>
        <v>8364.85</v>
      </c>
      <c r="K39" s="9">
        <f t="shared" si="6"/>
        <v>10185.19</v>
      </c>
      <c r="L39" s="9">
        <f t="shared" ref="L39:U39" si="7">SUM(L2:L32)</f>
        <v>7439.45</v>
      </c>
      <c r="M39" s="9">
        <f t="shared" si="7"/>
        <v>12200.44</v>
      </c>
      <c r="N39" s="9">
        <f t="shared" si="7"/>
        <v>8800.34</v>
      </c>
      <c r="O39" s="9">
        <f t="shared" si="7"/>
        <v>10916.82275</v>
      </c>
      <c r="P39" s="9">
        <f t="shared" si="7"/>
        <v>8935.93</v>
      </c>
      <c r="Q39" s="9">
        <f t="shared" si="7"/>
        <v>7593.98</v>
      </c>
      <c r="R39" s="9">
        <f t="shared" si="7"/>
        <v>9393.12</v>
      </c>
      <c r="S39" s="9">
        <f t="shared" si="7"/>
        <v>6675.59</v>
      </c>
      <c r="T39" s="9">
        <f t="shared" si="7"/>
        <v>7670.66</v>
      </c>
      <c r="U39" s="9">
        <f t="shared" si="7"/>
        <v>3799.7</v>
      </c>
      <c r="V39" s="9">
        <f t="shared" ref="V39:AB39" si="8">SUM(V2:V37)</f>
        <v>10857.06</v>
      </c>
      <c r="W39" s="9">
        <f t="shared" si="8"/>
        <v>10427.69</v>
      </c>
      <c r="X39" s="9">
        <f t="shared" si="8"/>
        <v>16561.44</v>
      </c>
      <c r="Y39" s="9">
        <f t="shared" si="8"/>
        <v>13314.44</v>
      </c>
      <c r="Z39" s="9">
        <f t="shared" si="8"/>
        <v>10367.06</v>
      </c>
      <c r="AA39" s="9">
        <f t="shared" si="8"/>
        <v>10581.7</v>
      </c>
      <c r="AB39" s="9">
        <f t="shared" si="8"/>
        <v>14115.11</v>
      </c>
      <c r="AC39" s="11">
        <f>AVERAGE(X39:AA39)</f>
        <v>12706.16</v>
      </c>
    </row>
    <row r="40">
      <c r="G40" s="21"/>
      <c r="H40" s="21"/>
      <c r="AB40" s="6"/>
      <c r="AC40" s="6" t="s">
        <v>51</v>
      </c>
    </row>
    <row r="41">
      <c r="A41" s="1" t="s">
        <v>52</v>
      </c>
      <c r="G41" s="21"/>
      <c r="H41" s="21"/>
      <c r="P41" s="8">
        <f t="shared" ref="P41:Q41" si="9">P42-14000</f>
        <v>-9217.49</v>
      </c>
      <c r="Q41" s="8">
        <f t="shared" si="9"/>
        <v>-9217.49</v>
      </c>
      <c r="R41" s="8">
        <f t="shared" ref="R41:S41" si="10">R42</f>
        <v>10167.279</v>
      </c>
      <c r="S41" s="8">
        <f t="shared" si="10"/>
        <v>9167.279</v>
      </c>
      <c r="T41" s="8">
        <f>S42</f>
        <v>9167.279</v>
      </c>
      <c r="U41" s="8">
        <f>S42</f>
        <v>9167.279</v>
      </c>
      <c r="V41" s="8">
        <f>S42</f>
        <v>9167.279</v>
      </c>
      <c r="W41" s="8">
        <f>S42</f>
        <v>9167.279</v>
      </c>
      <c r="X41" s="8">
        <f>S42</f>
        <v>9167.279</v>
      </c>
      <c r="Y41" s="14">
        <f t="shared" ref="Y41:Y42" si="14">5092.58+5495.73</f>
        <v>10588.31</v>
      </c>
      <c r="Z41" s="14">
        <f>C68</f>
        <v>10497.05</v>
      </c>
      <c r="AA41" s="1">
        <f t="shared" ref="AA41:AB41" si="11">AA68</f>
        <v>10497.05</v>
      </c>
      <c r="AB41" s="1">
        <f t="shared" si="11"/>
        <v>10497.05</v>
      </c>
      <c r="AC41" s="6" t="s">
        <v>51</v>
      </c>
    </row>
    <row r="42">
      <c r="A42" s="1" t="s">
        <v>53</v>
      </c>
      <c r="B42" s="8">
        <f t="shared" ref="B42:J42" si="12">8968.96</f>
        <v>8968.96</v>
      </c>
      <c r="C42" s="8">
        <f t="shared" si="12"/>
        <v>8968.96</v>
      </c>
      <c r="D42" s="8">
        <f t="shared" si="12"/>
        <v>8968.96</v>
      </c>
      <c r="E42" s="8">
        <f t="shared" si="12"/>
        <v>8968.96</v>
      </c>
      <c r="F42" s="8">
        <f t="shared" si="12"/>
        <v>8968.96</v>
      </c>
      <c r="G42" s="8">
        <f t="shared" si="12"/>
        <v>8968.96</v>
      </c>
      <c r="H42" s="8">
        <f t="shared" si="12"/>
        <v>8968.96</v>
      </c>
      <c r="I42" s="8">
        <f t="shared" si="12"/>
        <v>8968.96</v>
      </c>
      <c r="J42" s="8">
        <f t="shared" si="12"/>
        <v>8968.96</v>
      </c>
      <c r="K42" s="8" t="str">
        <f>D65</f>
        <v/>
      </c>
      <c r="L42" s="8" t="str">
        <f>D65</f>
        <v/>
      </c>
      <c r="M42" s="8">
        <f>D65+7008</f>
        <v>7008</v>
      </c>
      <c r="N42" s="8" t="str">
        <f>D65</f>
        <v/>
      </c>
      <c r="O42" s="8" t="str">
        <f>D65</f>
        <v/>
      </c>
      <c r="P42" s="8">
        <f t="shared" ref="P42:Q42" si="13">D65+4782.51</f>
        <v>4782.51</v>
      </c>
      <c r="Q42" s="8">
        <f t="shared" si="13"/>
        <v>4782.51</v>
      </c>
      <c r="R42" s="8">
        <f>C65+1000</f>
        <v>10167.279</v>
      </c>
      <c r="S42" s="8">
        <f>C65</f>
        <v>9167.279</v>
      </c>
      <c r="T42" s="8">
        <f>C65</f>
        <v>9167.279</v>
      </c>
      <c r="U42" s="8">
        <f>C65</f>
        <v>9167.279</v>
      </c>
      <c r="V42" s="8">
        <f>C64</f>
        <v>9827.829</v>
      </c>
      <c r="W42" s="8">
        <f>C64</f>
        <v>9827.829</v>
      </c>
      <c r="X42" s="22">
        <f>C64</f>
        <v>9827.829</v>
      </c>
      <c r="Y42" s="14">
        <f t="shared" si="14"/>
        <v>10588.31</v>
      </c>
      <c r="Z42" s="14">
        <f>C68</f>
        <v>10497.05</v>
      </c>
      <c r="AA42" s="14">
        <f t="shared" ref="AA42:AB42" si="15">AA68</f>
        <v>10497.05</v>
      </c>
      <c r="AB42" s="14">
        <f t="shared" si="15"/>
        <v>10497.05</v>
      </c>
      <c r="AC42" s="23">
        <v>9167.28</v>
      </c>
    </row>
    <row r="43">
      <c r="A43" s="1" t="s">
        <v>54</v>
      </c>
      <c r="B43" s="22">
        <v>792.0</v>
      </c>
      <c r="C43" s="22">
        <v>792.0</v>
      </c>
      <c r="D43" s="22">
        <v>792.0</v>
      </c>
      <c r="E43" s="22">
        <v>792.0</v>
      </c>
      <c r="F43" s="22">
        <v>792.0</v>
      </c>
      <c r="G43" s="22">
        <v>792.0</v>
      </c>
      <c r="H43" s="22">
        <v>792.0</v>
      </c>
      <c r="I43" s="22">
        <v>792.0</v>
      </c>
      <c r="J43" s="22">
        <v>792.0</v>
      </c>
      <c r="K43" s="22">
        <v>792.0</v>
      </c>
      <c r="L43" s="22">
        <v>792.0</v>
      </c>
      <c r="M43" s="22">
        <f>850+200</f>
        <v>1050</v>
      </c>
      <c r="N43" s="22">
        <f t="shared" ref="N43:S43" si="16">850</f>
        <v>850</v>
      </c>
      <c r="O43" s="22">
        <f t="shared" si="16"/>
        <v>850</v>
      </c>
      <c r="P43" s="22">
        <f t="shared" si="16"/>
        <v>850</v>
      </c>
      <c r="Q43" s="22">
        <f t="shared" si="16"/>
        <v>850</v>
      </c>
      <c r="R43" s="22">
        <f t="shared" si="16"/>
        <v>850</v>
      </c>
      <c r="S43" s="22">
        <f t="shared" si="16"/>
        <v>850</v>
      </c>
      <c r="T43" s="22">
        <v>850.0</v>
      </c>
      <c r="U43" s="22">
        <v>850.0</v>
      </c>
      <c r="V43" s="22">
        <v>850.0</v>
      </c>
      <c r="W43" s="22">
        <v>850.0</v>
      </c>
      <c r="X43" s="22">
        <v>850.0</v>
      </c>
      <c r="Y43" s="22">
        <v>850.0</v>
      </c>
      <c r="Z43" s="22">
        <v>850.0</v>
      </c>
      <c r="AA43" s="22">
        <v>850.0</v>
      </c>
      <c r="AB43" s="22">
        <v>850.0</v>
      </c>
      <c r="AC43" s="11">
        <f t="shared" ref="AC43:AC44" si="17">AVERAGE(G43:S43)</f>
        <v>838.6153846</v>
      </c>
    </row>
    <row r="44">
      <c r="A44" s="1" t="s">
        <v>55</v>
      </c>
      <c r="B44" s="22">
        <v>150.0</v>
      </c>
      <c r="C44" s="22">
        <v>150.0</v>
      </c>
      <c r="D44" s="22">
        <v>150.0</v>
      </c>
      <c r="E44" s="22">
        <v>150.0</v>
      </c>
      <c r="F44" s="22">
        <v>150.0</v>
      </c>
      <c r="G44" s="22">
        <v>150.0</v>
      </c>
      <c r="H44" s="22">
        <v>150.0</v>
      </c>
      <c r="I44" s="22">
        <v>150.0</v>
      </c>
      <c r="J44" s="22">
        <v>150.0</v>
      </c>
      <c r="K44" s="22">
        <v>150.0</v>
      </c>
      <c r="L44" s="22">
        <v>150.0</v>
      </c>
      <c r="M44" s="22">
        <v>150.0</v>
      </c>
      <c r="N44" s="22">
        <v>150.0</v>
      </c>
      <c r="O44" s="22">
        <v>150.0</v>
      </c>
      <c r="P44" s="22">
        <v>150.0</v>
      </c>
      <c r="Q44" s="22">
        <v>150.0</v>
      </c>
      <c r="R44" s="22">
        <v>150.0</v>
      </c>
      <c r="S44" s="22">
        <v>150.0</v>
      </c>
      <c r="T44" s="22">
        <v>150.0</v>
      </c>
      <c r="U44" s="22">
        <v>150.0</v>
      </c>
      <c r="V44" s="22">
        <v>150.0</v>
      </c>
      <c r="W44" s="22">
        <v>150.0</v>
      </c>
      <c r="X44" s="22">
        <v>150.0</v>
      </c>
      <c r="Y44" s="22">
        <v>150.0</v>
      </c>
      <c r="Z44" s="22">
        <v>150.0</v>
      </c>
      <c r="AA44" s="22">
        <v>150.0</v>
      </c>
      <c r="AB44" s="22">
        <v>150.0</v>
      </c>
      <c r="AC44" s="11">
        <f t="shared" si="17"/>
        <v>150</v>
      </c>
    </row>
    <row r="45">
      <c r="G45" s="21"/>
      <c r="H45" s="21"/>
      <c r="AB45" s="20"/>
      <c r="AC45" s="20"/>
    </row>
    <row r="46">
      <c r="A46" s="1" t="s">
        <v>56</v>
      </c>
      <c r="G46" s="21"/>
      <c r="H46" s="21"/>
      <c r="AB46" s="20"/>
      <c r="AC46" s="20"/>
    </row>
    <row r="47">
      <c r="A47" s="1" t="s">
        <v>57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2">
        <v>0.0</v>
      </c>
      <c r="H47" s="2">
        <v>0.0</v>
      </c>
      <c r="I47" s="1">
        <v>0.0</v>
      </c>
      <c r="J47" s="1">
        <v>0.0</v>
      </c>
      <c r="K47" s="1">
        <v>0.0</v>
      </c>
      <c r="L47" s="1">
        <v>0.0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0"/>
      <c r="AC47" s="20"/>
    </row>
    <row r="48">
      <c r="G48" s="21"/>
      <c r="H48" s="21"/>
      <c r="AB48" s="20"/>
      <c r="AC48" s="20"/>
    </row>
    <row r="49">
      <c r="A49" s="1" t="s">
        <v>58</v>
      </c>
      <c r="G49" s="21"/>
      <c r="H49" s="21"/>
      <c r="AB49" s="20"/>
      <c r="AC49" s="20"/>
    </row>
    <row r="50">
      <c r="A50" s="24" t="s">
        <v>59</v>
      </c>
      <c r="B50" s="8">
        <f t="shared" ref="B50:H50" si="18">sum(B2,B5:B7,B9:B19,B25,B27)</f>
        <v>4181.08</v>
      </c>
      <c r="C50" s="8">
        <f t="shared" si="18"/>
        <v>5715.03</v>
      </c>
      <c r="D50" s="8">
        <f t="shared" si="18"/>
        <v>5173.78</v>
      </c>
      <c r="E50" s="8">
        <f t="shared" si="18"/>
        <v>4081.72</v>
      </c>
      <c r="F50" s="8">
        <f t="shared" si="18"/>
        <v>6192.8973</v>
      </c>
      <c r="G50" s="8">
        <f t="shared" si="18"/>
        <v>7152.8773</v>
      </c>
      <c r="H50" s="8">
        <f t="shared" si="18"/>
        <v>6035.4373</v>
      </c>
      <c r="I50" s="8">
        <f t="shared" ref="I50:AC50" si="19">sum(I2,I5:I7,I9:I19,I25,I27,I26,I30)</f>
        <v>5528.5164</v>
      </c>
      <c r="J50" s="8">
        <f t="shared" si="19"/>
        <v>7236.76</v>
      </c>
      <c r="K50" s="8">
        <f t="shared" si="19"/>
        <v>7694.17</v>
      </c>
      <c r="L50" s="8">
        <f t="shared" si="19"/>
        <v>6161.6</v>
      </c>
      <c r="M50" s="8">
        <f t="shared" si="19"/>
        <v>10991.97</v>
      </c>
      <c r="N50" s="8">
        <f t="shared" si="19"/>
        <v>8574.14</v>
      </c>
      <c r="O50" s="8">
        <f t="shared" si="19"/>
        <v>10690.62275</v>
      </c>
      <c r="P50" s="8">
        <f t="shared" si="19"/>
        <v>8281.67</v>
      </c>
      <c r="Q50" s="8">
        <f t="shared" si="19"/>
        <v>6327.52</v>
      </c>
      <c r="R50" s="8">
        <f t="shared" si="19"/>
        <v>7950.44</v>
      </c>
      <c r="S50" s="8">
        <f t="shared" si="19"/>
        <v>5660.12</v>
      </c>
      <c r="T50" s="8">
        <f t="shared" si="19"/>
        <v>7329.97</v>
      </c>
      <c r="U50" s="8">
        <f t="shared" si="19"/>
        <v>3739.7</v>
      </c>
      <c r="V50" s="8">
        <f t="shared" si="19"/>
        <v>6080.63</v>
      </c>
      <c r="W50" s="8">
        <f t="shared" si="19"/>
        <v>5596.35</v>
      </c>
      <c r="X50" s="8">
        <f t="shared" si="19"/>
        <v>7350.78</v>
      </c>
      <c r="Y50" s="8">
        <f t="shared" si="19"/>
        <v>6122.6</v>
      </c>
      <c r="Z50" s="8">
        <f t="shared" si="19"/>
        <v>5893.37</v>
      </c>
      <c r="AA50" s="8">
        <f t="shared" si="19"/>
        <v>6050.85</v>
      </c>
      <c r="AB50" s="8">
        <f t="shared" si="19"/>
        <v>6956.08</v>
      </c>
      <c r="AC50" s="11">
        <f t="shared" si="19"/>
        <v>6354.4</v>
      </c>
    </row>
    <row r="51">
      <c r="A51" s="25">
        <f>SUM(B42:B44)*0.55</f>
        <v>5451.028</v>
      </c>
      <c r="B51" s="26">
        <f t="shared" ref="B51:AC51" si="20">IFERROR(B50/SUM(B42:B44),0)</f>
        <v>0.4218642795</v>
      </c>
      <c r="C51" s="26">
        <f t="shared" si="20"/>
        <v>0.5766373792</v>
      </c>
      <c r="D51" s="26">
        <f t="shared" si="20"/>
        <v>0.5220261206</v>
      </c>
      <c r="E51" s="26">
        <f t="shared" si="20"/>
        <v>0.4118390146</v>
      </c>
      <c r="F51" s="26">
        <f t="shared" si="20"/>
        <v>0.6248534249</v>
      </c>
      <c r="G51" s="26">
        <f t="shared" si="20"/>
        <v>0.7217138703</v>
      </c>
      <c r="H51" s="26">
        <f t="shared" si="20"/>
        <v>0.6089659629</v>
      </c>
      <c r="I51" s="26">
        <f t="shared" si="20"/>
        <v>0.5578184555</v>
      </c>
      <c r="J51" s="26">
        <f t="shared" si="20"/>
        <v>0.7301775005</v>
      </c>
      <c r="K51" s="26">
        <f t="shared" si="20"/>
        <v>8.167908705</v>
      </c>
      <c r="L51" s="26">
        <f t="shared" si="20"/>
        <v>6.540976645</v>
      </c>
      <c r="M51" s="26">
        <f t="shared" si="20"/>
        <v>1.339177632</v>
      </c>
      <c r="N51" s="26">
        <f t="shared" si="20"/>
        <v>8.57414</v>
      </c>
      <c r="O51" s="26">
        <f t="shared" si="20"/>
        <v>10.69062275</v>
      </c>
      <c r="P51" s="26">
        <f t="shared" si="20"/>
        <v>1.43219294</v>
      </c>
      <c r="Q51" s="26">
        <f t="shared" si="20"/>
        <v>1.094251458</v>
      </c>
      <c r="R51" s="26">
        <f t="shared" si="20"/>
        <v>0.7119406616</v>
      </c>
      <c r="S51" s="26">
        <f t="shared" si="20"/>
        <v>0.556699585</v>
      </c>
      <c r="T51" s="26">
        <f t="shared" si="20"/>
        <v>0.720937234</v>
      </c>
      <c r="U51" s="26">
        <f t="shared" si="20"/>
        <v>0.3678171908</v>
      </c>
      <c r="V51" s="26">
        <f t="shared" si="20"/>
        <v>0.5615742546</v>
      </c>
      <c r="W51" s="26">
        <f t="shared" si="20"/>
        <v>0.5168487607</v>
      </c>
      <c r="X51" s="26">
        <f t="shared" si="20"/>
        <v>0.6788784714</v>
      </c>
      <c r="Y51" s="26">
        <f t="shared" si="20"/>
        <v>0.5283427868</v>
      </c>
      <c r="Z51" s="26">
        <f t="shared" si="20"/>
        <v>0.5125984492</v>
      </c>
      <c r="AA51" s="26">
        <f t="shared" si="20"/>
        <v>0.5262958759</v>
      </c>
      <c r="AB51" s="26">
        <f t="shared" si="20"/>
        <v>0.6050317255</v>
      </c>
      <c r="AC51" s="27">
        <f t="shared" si="20"/>
        <v>0.6256858464</v>
      </c>
    </row>
    <row r="52">
      <c r="A52" s="28" t="s">
        <v>60</v>
      </c>
      <c r="B52" s="8">
        <f t="shared" ref="B52:AC52" si="21">B4</f>
        <v>37.9</v>
      </c>
      <c r="C52" s="8">
        <f t="shared" si="21"/>
        <v>37.9</v>
      </c>
      <c r="D52" s="8">
        <f t="shared" si="21"/>
        <v>37.9</v>
      </c>
      <c r="E52" s="8">
        <f t="shared" si="21"/>
        <v>37.9</v>
      </c>
      <c r="F52" s="8">
        <f t="shared" si="21"/>
        <v>37.9</v>
      </c>
      <c r="G52" s="8">
        <f t="shared" si="21"/>
        <v>0</v>
      </c>
      <c r="H52" s="8">
        <f t="shared" si="21"/>
        <v>0</v>
      </c>
      <c r="I52" s="8">
        <f t="shared" si="21"/>
        <v>0</v>
      </c>
      <c r="J52" s="8">
        <f t="shared" si="21"/>
        <v>0</v>
      </c>
      <c r="K52" s="8">
        <f t="shared" si="21"/>
        <v>1326.51</v>
      </c>
      <c r="L52" s="8">
        <f t="shared" si="21"/>
        <v>0</v>
      </c>
      <c r="M52" s="8">
        <f t="shared" si="21"/>
        <v>0</v>
      </c>
      <c r="N52" s="8">
        <f t="shared" si="21"/>
        <v>0</v>
      </c>
      <c r="O52" s="8">
        <f t="shared" si="21"/>
        <v>0</v>
      </c>
      <c r="P52" s="8">
        <f t="shared" si="21"/>
        <v>0</v>
      </c>
      <c r="Q52" s="8">
        <f t="shared" si="21"/>
        <v>0</v>
      </c>
      <c r="R52" s="8">
        <f t="shared" si="21"/>
        <v>0</v>
      </c>
      <c r="S52" s="8">
        <f t="shared" si="21"/>
        <v>0</v>
      </c>
      <c r="T52" s="22">
        <f t="shared" si="21"/>
        <v>0</v>
      </c>
      <c r="U52" s="22">
        <f t="shared" si="21"/>
        <v>0</v>
      </c>
      <c r="V52" s="22">
        <f t="shared" si="21"/>
        <v>0</v>
      </c>
      <c r="W52" s="22">
        <f t="shared" si="21"/>
        <v>0</v>
      </c>
      <c r="X52" s="22">
        <f t="shared" si="21"/>
        <v>0</v>
      </c>
      <c r="Y52" s="22">
        <f t="shared" si="21"/>
        <v>2457.12</v>
      </c>
      <c r="Z52" s="22">
        <f t="shared" si="21"/>
        <v>380.12</v>
      </c>
      <c r="AA52" s="22">
        <f t="shared" si="21"/>
        <v>380</v>
      </c>
      <c r="AB52" s="22">
        <f t="shared" si="21"/>
        <v>380</v>
      </c>
      <c r="AC52" s="11">
        <f t="shared" si="21"/>
        <v>804.31</v>
      </c>
    </row>
    <row r="53">
      <c r="A53" s="29">
        <f>B42*0.05</f>
        <v>448.448</v>
      </c>
      <c r="B53" s="26">
        <f t="shared" ref="B53:AC53" si="22">IFERROR(B52/SUM(B42:B44),0)</f>
        <v>0.003824049335</v>
      </c>
      <c r="C53" s="26">
        <f t="shared" si="22"/>
        <v>0.003824049335</v>
      </c>
      <c r="D53" s="26">
        <f t="shared" si="22"/>
        <v>0.003824049335</v>
      </c>
      <c r="E53" s="26">
        <f t="shared" si="22"/>
        <v>0.003824049335</v>
      </c>
      <c r="F53" s="26">
        <f t="shared" si="22"/>
        <v>0.003824049335</v>
      </c>
      <c r="G53" s="26">
        <f t="shared" si="22"/>
        <v>0</v>
      </c>
      <c r="H53" s="26">
        <f t="shared" si="22"/>
        <v>0</v>
      </c>
      <c r="I53" s="26">
        <f t="shared" si="22"/>
        <v>0</v>
      </c>
      <c r="J53" s="26">
        <f t="shared" si="22"/>
        <v>0</v>
      </c>
      <c r="K53" s="26">
        <f t="shared" si="22"/>
        <v>1.408184713</v>
      </c>
      <c r="L53" s="26">
        <f t="shared" si="22"/>
        <v>0</v>
      </c>
      <c r="M53" s="26">
        <f t="shared" si="22"/>
        <v>0</v>
      </c>
      <c r="N53" s="26">
        <f t="shared" si="22"/>
        <v>0</v>
      </c>
      <c r="O53" s="26">
        <f t="shared" si="22"/>
        <v>0</v>
      </c>
      <c r="P53" s="26">
        <f t="shared" si="22"/>
        <v>0</v>
      </c>
      <c r="Q53" s="26">
        <f t="shared" si="22"/>
        <v>0</v>
      </c>
      <c r="R53" s="26">
        <f t="shared" si="22"/>
        <v>0</v>
      </c>
      <c r="S53" s="26">
        <f t="shared" si="22"/>
        <v>0</v>
      </c>
      <c r="T53" s="26">
        <f t="shared" si="22"/>
        <v>0</v>
      </c>
      <c r="U53" s="26">
        <f t="shared" si="22"/>
        <v>0</v>
      </c>
      <c r="V53" s="26">
        <f t="shared" si="22"/>
        <v>0</v>
      </c>
      <c r="W53" s="26">
        <f t="shared" si="22"/>
        <v>0</v>
      </c>
      <c r="X53" s="26">
        <f t="shared" si="22"/>
        <v>0</v>
      </c>
      <c r="Y53" s="26">
        <f t="shared" si="22"/>
        <v>0.2120343691</v>
      </c>
      <c r="Z53" s="26">
        <f t="shared" si="22"/>
        <v>0.03306239427</v>
      </c>
      <c r="AA53" s="26">
        <f t="shared" si="22"/>
        <v>0.03305195681</v>
      </c>
      <c r="AB53" s="26">
        <f t="shared" si="22"/>
        <v>0.03305195681</v>
      </c>
      <c r="AC53" s="27">
        <f t="shared" si="22"/>
        <v>0.07919636522</v>
      </c>
    </row>
    <row r="54">
      <c r="A54" s="30" t="s">
        <v>61</v>
      </c>
      <c r="B54" s="8">
        <f t="shared" ref="B54:H54" si="23">sum(B3,B8,B20,B21,B22,B23,B24,B26,B28,B29,B30)</f>
        <v>92</v>
      </c>
      <c r="C54" s="8">
        <f t="shared" si="23"/>
        <v>2238.68</v>
      </c>
      <c r="D54" s="8">
        <f t="shared" si="23"/>
        <v>2546.71</v>
      </c>
      <c r="E54" s="8">
        <f t="shared" si="23"/>
        <v>2992.08</v>
      </c>
      <c r="F54" s="8">
        <f t="shared" si="23"/>
        <v>2759.7</v>
      </c>
      <c r="G54" s="8">
        <f t="shared" si="23"/>
        <v>1107.54</v>
      </c>
      <c r="H54" s="8">
        <f t="shared" si="23"/>
        <v>1371.13</v>
      </c>
      <c r="I54" s="8">
        <f t="shared" ref="I54:AC54" si="24">sum(I3,I8,I20,I21,I22,I23,I24,I28,I29)</f>
        <v>1152.6</v>
      </c>
      <c r="J54" s="8">
        <f t="shared" si="24"/>
        <v>968.09</v>
      </c>
      <c r="K54" s="8">
        <f t="shared" si="24"/>
        <v>1164.51</v>
      </c>
      <c r="L54" s="8">
        <f t="shared" si="24"/>
        <v>1277.85</v>
      </c>
      <c r="M54" s="8">
        <f t="shared" si="24"/>
        <v>1208.47</v>
      </c>
      <c r="N54" s="8">
        <f t="shared" si="24"/>
        <v>226.2</v>
      </c>
      <c r="O54" s="8">
        <f t="shared" si="24"/>
        <v>226.2</v>
      </c>
      <c r="P54" s="8">
        <f t="shared" si="24"/>
        <v>654.26</v>
      </c>
      <c r="Q54" s="8">
        <f t="shared" si="24"/>
        <v>1266.46</v>
      </c>
      <c r="R54" s="8">
        <f t="shared" si="24"/>
        <v>851.17</v>
      </c>
      <c r="S54" s="8">
        <f t="shared" si="24"/>
        <v>1015.47</v>
      </c>
      <c r="T54" s="8">
        <f t="shared" si="24"/>
        <v>340.69</v>
      </c>
      <c r="U54" s="8">
        <f t="shared" si="24"/>
        <v>60</v>
      </c>
      <c r="V54" s="8">
        <f t="shared" si="24"/>
        <v>4096.58</v>
      </c>
      <c r="W54" s="8">
        <f t="shared" si="24"/>
        <v>1555.15</v>
      </c>
      <c r="X54" s="8">
        <f t="shared" si="24"/>
        <v>2023.9</v>
      </c>
      <c r="Y54" s="8">
        <f t="shared" si="24"/>
        <v>1742.11</v>
      </c>
      <c r="Z54" s="8">
        <f t="shared" si="24"/>
        <v>2055.66</v>
      </c>
      <c r="AA54" s="8">
        <f t="shared" si="24"/>
        <v>2107.22</v>
      </c>
      <c r="AB54" s="8">
        <f t="shared" si="24"/>
        <v>2030.51</v>
      </c>
      <c r="AC54" s="11">
        <f t="shared" si="24"/>
        <v>1982.2225</v>
      </c>
    </row>
    <row r="55">
      <c r="A55" s="31">
        <f>SUM(B42,B44)*0.1</f>
        <v>911.896</v>
      </c>
      <c r="B55" s="26">
        <f t="shared" ref="B55:AC55" si="25">IFERROR(B54/SUM(B42,B44),0)</f>
        <v>0.01008886978</v>
      </c>
      <c r="C55" s="26">
        <f t="shared" si="25"/>
        <v>0.2454972936</v>
      </c>
      <c r="D55" s="26">
        <f t="shared" si="25"/>
        <v>0.2792763648</v>
      </c>
      <c r="E55" s="26">
        <f t="shared" si="25"/>
        <v>0.3281163641</v>
      </c>
      <c r="F55" s="26">
        <f t="shared" si="25"/>
        <v>0.302633195</v>
      </c>
      <c r="G55" s="26">
        <f t="shared" si="25"/>
        <v>0.1214546396</v>
      </c>
      <c r="H55" s="26">
        <f t="shared" si="25"/>
        <v>0.1503603481</v>
      </c>
      <c r="I55" s="26">
        <f t="shared" si="25"/>
        <v>0.1263959925</v>
      </c>
      <c r="J55" s="26">
        <f t="shared" si="25"/>
        <v>0.1061623255</v>
      </c>
      <c r="K55" s="26">
        <f t="shared" si="25"/>
        <v>7.7634</v>
      </c>
      <c r="L55" s="26">
        <f t="shared" si="25"/>
        <v>8.519</v>
      </c>
      <c r="M55" s="26">
        <f t="shared" si="25"/>
        <v>0.1688278849</v>
      </c>
      <c r="N55" s="26">
        <f t="shared" si="25"/>
        <v>1.508</v>
      </c>
      <c r="O55" s="26">
        <f t="shared" si="25"/>
        <v>1.508</v>
      </c>
      <c r="P55" s="26">
        <f t="shared" si="25"/>
        <v>0.1326424072</v>
      </c>
      <c r="Q55" s="26">
        <f t="shared" si="25"/>
        <v>0.2567577156</v>
      </c>
      <c r="R55" s="26">
        <f t="shared" si="25"/>
        <v>0.08249946522</v>
      </c>
      <c r="S55" s="26">
        <f t="shared" si="25"/>
        <v>0.1089878279</v>
      </c>
      <c r="T55" s="26">
        <f t="shared" si="25"/>
        <v>0.0365653964</v>
      </c>
      <c r="U55" s="26">
        <f t="shared" si="25"/>
        <v>0.006439648314</v>
      </c>
      <c r="V55" s="26">
        <f t="shared" si="25"/>
        <v>0.4105682709</v>
      </c>
      <c r="W55" s="26">
        <f t="shared" si="25"/>
        <v>0.1558605584</v>
      </c>
      <c r="X55" s="26">
        <f t="shared" si="25"/>
        <v>0.2028397159</v>
      </c>
      <c r="Y55" s="26">
        <f t="shared" si="25"/>
        <v>0.1622331633</v>
      </c>
      <c r="Z55" s="26">
        <f t="shared" si="25"/>
        <v>0.1930731987</v>
      </c>
      <c r="AA55" s="26">
        <f t="shared" si="25"/>
        <v>0.1979158546</v>
      </c>
      <c r="AB55" s="26">
        <f t="shared" si="25"/>
        <v>0.190711042</v>
      </c>
      <c r="AC55" s="27">
        <f t="shared" si="25"/>
        <v>0.2127469068</v>
      </c>
    </row>
    <row r="56">
      <c r="A56" s="32" t="s">
        <v>62</v>
      </c>
      <c r="B56" s="8">
        <f t="shared" ref="B56:I56" si="26">IFERROR(SUM(B42)*0.3-633.9,0)</f>
        <v>2056.788</v>
      </c>
      <c r="C56" s="8">
        <f t="shared" si="26"/>
        <v>2056.788</v>
      </c>
      <c r="D56" s="8">
        <f t="shared" si="26"/>
        <v>2056.788</v>
      </c>
      <c r="E56" s="8">
        <f t="shared" si="26"/>
        <v>2056.788</v>
      </c>
      <c r="F56" s="8">
        <f t="shared" si="26"/>
        <v>2056.788</v>
      </c>
      <c r="G56" s="8">
        <f t="shared" si="26"/>
        <v>2056.788</v>
      </c>
      <c r="H56" s="8">
        <f t="shared" si="26"/>
        <v>2056.788</v>
      </c>
      <c r="I56" s="8">
        <f t="shared" si="26"/>
        <v>2056.788</v>
      </c>
      <c r="J56" s="22">
        <v>1500.0</v>
      </c>
      <c r="K56" s="22">
        <v>0.0</v>
      </c>
      <c r="L56" s="8">
        <f t="shared" ref="L56:Z56" si="27">IFERROR(SUM(L42)*0.3-633.9,0)</f>
        <v>-633.9</v>
      </c>
      <c r="M56" s="8">
        <f t="shared" si="27"/>
        <v>1468.5</v>
      </c>
      <c r="N56" s="8">
        <f t="shared" si="27"/>
        <v>-633.9</v>
      </c>
      <c r="O56" s="8">
        <f t="shared" si="27"/>
        <v>-633.9</v>
      </c>
      <c r="P56" s="8">
        <f t="shared" si="27"/>
        <v>800.853</v>
      </c>
      <c r="Q56" s="8">
        <f t="shared" si="27"/>
        <v>800.853</v>
      </c>
      <c r="R56" s="8">
        <f t="shared" si="27"/>
        <v>2416.2837</v>
      </c>
      <c r="S56" s="8">
        <f t="shared" si="27"/>
        <v>2116.2837</v>
      </c>
      <c r="T56" s="8">
        <f t="shared" si="27"/>
        <v>2116.2837</v>
      </c>
      <c r="U56" s="8">
        <f t="shared" si="27"/>
        <v>2116.2837</v>
      </c>
      <c r="V56" s="8">
        <f t="shared" si="27"/>
        <v>2314.4487</v>
      </c>
      <c r="W56" s="8">
        <f t="shared" si="27"/>
        <v>2314.4487</v>
      </c>
      <c r="X56" s="8">
        <f t="shared" si="27"/>
        <v>2314.4487</v>
      </c>
      <c r="Y56" s="8">
        <f t="shared" si="27"/>
        <v>2542.593</v>
      </c>
      <c r="Z56" s="8">
        <f t="shared" si="27"/>
        <v>2515.215</v>
      </c>
      <c r="AA56" s="8">
        <f t="shared" ref="AA56:AB56" si="28">AA37</f>
        <v>0</v>
      </c>
      <c r="AB56" s="8">
        <f t="shared" si="28"/>
        <v>2056</v>
      </c>
      <c r="AC56" s="11">
        <f>IFERROR(SUM(AC42)*0.3-633.9,0)</f>
        <v>2116.284</v>
      </c>
    </row>
    <row r="57">
      <c r="G57" s="21"/>
      <c r="H57" s="21"/>
      <c r="AA57" s="26">
        <f t="shared" ref="AA57:AB57" si="29">IFERROR(AA56/SUM(AA42*0.3-250),0)</f>
        <v>0</v>
      </c>
      <c r="AB57" s="26">
        <f t="shared" si="29"/>
        <v>0.70918194</v>
      </c>
      <c r="AC57" s="20"/>
    </row>
    <row r="58">
      <c r="A58" s="1" t="s">
        <v>63</v>
      </c>
      <c r="B58" s="8">
        <f t="shared" ref="B58:AC58" si="30">B42-SUM(B50,B52,B54,B56)</f>
        <v>2601.192</v>
      </c>
      <c r="C58" s="8">
        <f t="shared" si="30"/>
        <v>-1079.438</v>
      </c>
      <c r="D58" s="8">
        <f t="shared" si="30"/>
        <v>-846.218</v>
      </c>
      <c r="E58" s="8">
        <f t="shared" si="30"/>
        <v>-199.528</v>
      </c>
      <c r="F58" s="8">
        <f t="shared" si="30"/>
        <v>-2078.3253</v>
      </c>
      <c r="G58" s="8">
        <f t="shared" si="30"/>
        <v>-1348.2453</v>
      </c>
      <c r="H58" s="8">
        <f t="shared" si="30"/>
        <v>-494.3953</v>
      </c>
      <c r="I58" s="8">
        <f t="shared" si="30"/>
        <v>231.0556</v>
      </c>
      <c r="J58" s="8">
        <f t="shared" si="30"/>
        <v>-735.89</v>
      </c>
      <c r="K58" s="8">
        <f t="shared" si="30"/>
        <v>-10185.19</v>
      </c>
      <c r="L58" s="8">
        <f t="shared" si="30"/>
        <v>-6805.55</v>
      </c>
      <c r="M58" s="8">
        <f t="shared" si="30"/>
        <v>-6660.94</v>
      </c>
      <c r="N58" s="8">
        <f t="shared" si="30"/>
        <v>-8166.44</v>
      </c>
      <c r="O58" s="8">
        <f t="shared" si="30"/>
        <v>-10282.92275</v>
      </c>
      <c r="P58" s="8">
        <f t="shared" si="30"/>
        <v>-4954.273</v>
      </c>
      <c r="Q58" s="8">
        <f t="shared" si="30"/>
        <v>-3612.323</v>
      </c>
      <c r="R58" s="8">
        <f t="shared" si="30"/>
        <v>-1050.6147</v>
      </c>
      <c r="S58" s="8">
        <f t="shared" si="30"/>
        <v>375.4053</v>
      </c>
      <c r="T58" s="8">
        <f t="shared" si="30"/>
        <v>-619.6647</v>
      </c>
      <c r="U58" s="8">
        <f t="shared" si="30"/>
        <v>3251.2953</v>
      </c>
      <c r="V58" s="8">
        <f t="shared" si="30"/>
        <v>-2663.8297</v>
      </c>
      <c r="W58" s="8">
        <f t="shared" si="30"/>
        <v>361.8803</v>
      </c>
      <c r="X58" s="8">
        <f t="shared" si="30"/>
        <v>-1861.2997</v>
      </c>
      <c r="Y58" s="8">
        <f t="shared" si="30"/>
        <v>-2276.113</v>
      </c>
      <c r="Z58" s="8">
        <f t="shared" si="30"/>
        <v>-347.315</v>
      </c>
      <c r="AA58" s="8">
        <f t="shared" si="30"/>
        <v>1958.98</v>
      </c>
      <c r="AB58" s="8">
        <f t="shared" si="30"/>
        <v>-925.54</v>
      </c>
      <c r="AC58" s="11">
        <f t="shared" si="30"/>
        <v>-2089.9365</v>
      </c>
    </row>
    <row r="59">
      <c r="G59" s="21"/>
      <c r="H59" s="21"/>
      <c r="AB59" s="20"/>
      <c r="AC59" s="20"/>
    </row>
    <row r="60">
      <c r="G60" s="21"/>
      <c r="H60" s="21"/>
      <c r="AB60" s="20"/>
      <c r="AC60" s="20"/>
    </row>
    <row r="61">
      <c r="A61" s="1" t="s">
        <v>64</v>
      </c>
      <c r="B61" s="8">
        <f>12900+(12900*0)</f>
        <v>12900</v>
      </c>
      <c r="C61" s="33">
        <f>13210.89</f>
        <v>13210.89</v>
      </c>
      <c r="D61" s="33"/>
      <c r="G61" s="21"/>
      <c r="H61" s="21"/>
      <c r="AB61" s="20"/>
      <c r="AC61" s="20"/>
    </row>
    <row r="62">
      <c r="A62" s="1" t="s">
        <v>65</v>
      </c>
      <c r="B62" s="8">
        <f>B61-876.95-sum(189)</f>
        <v>11834.05</v>
      </c>
      <c r="C62" s="14">
        <f>C61-908.85</f>
        <v>12302.04</v>
      </c>
      <c r="G62" s="21"/>
      <c r="H62" s="21"/>
      <c r="AB62" s="20"/>
      <c r="AC62" s="20"/>
    </row>
    <row r="63">
      <c r="A63" s="1" t="s">
        <v>66</v>
      </c>
      <c r="B63" s="8">
        <f>B62*0.275-875</f>
        <v>2379.36375</v>
      </c>
      <c r="C63" s="8">
        <f>C62*0.275-908.85</f>
        <v>2474.211</v>
      </c>
      <c r="D63" s="8"/>
      <c r="G63" s="21"/>
      <c r="H63" s="21"/>
      <c r="AB63" s="20"/>
      <c r="AC63" s="20"/>
    </row>
    <row r="64">
      <c r="A64" s="1" t="s">
        <v>67</v>
      </c>
      <c r="B64" s="8">
        <f t="shared" ref="B64:C64" si="31">B62-B63</f>
        <v>9454.68625</v>
      </c>
      <c r="C64" s="8">
        <f t="shared" si="31"/>
        <v>9827.829</v>
      </c>
      <c r="D64" s="8"/>
      <c r="G64" s="21"/>
      <c r="H64" s="21"/>
      <c r="AB64" s="20"/>
      <c r="AC64" s="20"/>
    </row>
    <row r="65">
      <c r="A65" s="1" t="s">
        <v>68</v>
      </c>
      <c r="B65" s="8">
        <f>B64-630</f>
        <v>8824.68625</v>
      </c>
      <c r="C65" s="8">
        <f>C64-(264.22+396.33)</f>
        <v>9167.279</v>
      </c>
      <c r="G65" s="21"/>
      <c r="H65" s="21"/>
      <c r="AB65" s="20"/>
      <c r="AC65" s="20"/>
    </row>
    <row r="66">
      <c r="G66" s="21"/>
      <c r="H66" s="21"/>
      <c r="AB66" s="20"/>
      <c r="AC66" s="20"/>
    </row>
    <row r="67">
      <c r="G67" s="21"/>
      <c r="H67" s="21"/>
      <c r="AB67" s="20"/>
      <c r="AC67" s="20"/>
    </row>
    <row r="68">
      <c r="A68" s="1" t="s">
        <v>67</v>
      </c>
      <c r="B68" s="34">
        <v>45833.0</v>
      </c>
      <c r="C68" s="14">
        <f>5495.73+5001.32</f>
        <v>10497.05</v>
      </c>
      <c r="G68" s="21"/>
      <c r="H68" s="21"/>
      <c r="Z68" s="14">
        <f t="shared" ref="Z68:AB68" si="32">5495.73+5001.32</f>
        <v>10497.05</v>
      </c>
      <c r="AA68" s="14">
        <f t="shared" si="32"/>
        <v>10497.05</v>
      </c>
      <c r="AB68" s="14">
        <f t="shared" si="32"/>
        <v>10497.05</v>
      </c>
      <c r="AC68" s="20"/>
    </row>
    <row r="69">
      <c r="G69" s="21"/>
      <c r="H69" s="21"/>
      <c r="AB69" s="20"/>
      <c r="AC69" s="20"/>
    </row>
    <row r="70">
      <c r="C70" s="1" t="s">
        <v>69</v>
      </c>
      <c r="G70" s="21"/>
      <c r="H70" s="21"/>
      <c r="AB70" s="20"/>
      <c r="AC70" s="20"/>
    </row>
    <row r="71">
      <c r="G71" s="21"/>
      <c r="H71" s="21"/>
      <c r="AB71" s="20"/>
      <c r="AC71" s="20"/>
    </row>
    <row r="72">
      <c r="A72" s="35" t="s">
        <v>59</v>
      </c>
      <c r="G72" s="21"/>
      <c r="H72" s="21"/>
      <c r="Z72" s="14">
        <f>Z68*0.55</f>
        <v>5773.3775</v>
      </c>
      <c r="AA72" s="8">
        <f t="shared" ref="AA72:AB72" si="33">(AA68*0.55)-(AA50)</f>
        <v>-277.4725</v>
      </c>
      <c r="AB72" s="8">
        <f t="shared" si="33"/>
        <v>-1182.7025</v>
      </c>
      <c r="AC72" s="20"/>
    </row>
    <row r="73">
      <c r="A73" s="14" t="s">
        <v>60</v>
      </c>
      <c r="G73" s="21"/>
      <c r="H73" s="21"/>
      <c r="Z73" s="14">
        <f>Z68*0.05</f>
        <v>524.8525</v>
      </c>
      <c r="AA73" s="8">
        <f t="shared" ref="AA73:AB73" si="34">(AA68*0.05)-AA52</f>
        <v>144.8525</v>
      </c>
      <c r="AB73" s="8">
        <f t="shared" si="34"/>
        <v>144.8525</v>
      </c>
      <c r="AC73" s="20"/>
    </row>
    <row r="74">
      <c r="A74" s="14" t="s">
        <v>61</v>
      </c>
      <c r="G74" s="21"/>
      <c r="H74" s="21"/>
      <c r="Z74" s="14">
        <f>Z68*0.1</f>
        <v>1049.705</v>
      </c>
      <c r="AA74" s="8">
        <f t="shared" ref="AA74:AB74" si="35">(AA68*0.1)-(AA54)</f>
        <v>-1057.515</v>
      </c>
      <c r="AB74" s="8">
        <f t="shared" si="35"/>
        <v>-980.805</v>
      </c>
      <c r="AC74" s="20"/>
    </row>
    <row r="75">
      <c r="A75" s="14" t="s">
        <v>62</v>
      </c>
      <c r="G75" s="21"/>
      <c r="H75" s="21"/>
      <c r="Z75" s="14">
        <f>Z68*0.3</f>
        <v>3149.115</v>
      </c>
      <c r="AA75" s="8">
        <f t="shared" ref="AA75:AB75" si="36">((AA68*0.3)-250)-AA37</f>
        <v>2899.115</v>
      </c>
      <c r="AB75" s="8">
        <f t="shared" si="36"/>
        <v>843.115</v>
      </c>
      <c r="AC75" s="20"/>
    </row>
    <row r="76">
      <c r="G76" s="21"/>
      <c r="H76" s="21"/>
      <c r="AB76" s="20"/>
      <c r="AC76" s="20"/>
    </row>
    <row r="77">
      <c r="B77" s="1">
        <v>120000.0</v>
      </c>
      <c r="G77" s="21"/>
      <c r="H77" s="21"/>
      <c r="AB77" s="20"/>
      <c r="AC77" s="20"/>
    </row>
    <row r="78">
      <c r="B78" s="14">
        <f>15000+3000</f>
        <v>18000</v>
      </c>
      <c r="G78" s="21"/>
      <c r="H78" s="21"/>
      <c r="AB78" s="20"/>
      <c r="AC78" s="20"/>
    </row>
    <row r="79">
      <c r="B79" s="14">
        <f>SUM(B77:B78)</f>
        <v>138000</v>
      </c>
      <c r="G79" s="21"/>
      <c r="H79" s="21"/>
      <c r="AB79" s="20"/>
      <c r="AC79" s="20"/>
    </row>
    <row r="80">
      <c r="B80" s="14">
        <f>2111*11</f>
        <v>23221</v>
      </c>
      <c r="G80" s="21"/>
      <c r="H80" s="21"/>
      <c r="AB80" s="20"/>
      <c r="AC80" s="20"/>
    </row>
    <row r="81">
      <c r="B81" s="14">
        <f>SUM(B79:B80)</f>
        <v>161221</v>
      </c>
      <c r="G81" s="21"/>
      <c r="H81" s="21"/>
      <c r="AB81" s="20"/>
      <c r="AC81" s="20"/>
    </row>
    <row r="82">
      <c r="B82" s="14">
        <f>200000-B81</f>
        <v>38779</v>
      </c>
      <c r="G82" s="21"/>
      <c r="H82" s="21"/>
      <c r="AB82" s="20"/>
      <c r="AC82" s="20"/>
    </row>
    <row r="83">
      <c r="G83" s="21"/>
      <c r="H83" s="21"/>
      <c r="AB83" s="20"/>
      <c r="AC83" s="20"/>
    </row>
    <row r="84">
      <c r="G84" s="21"/>
      <c r="H84" s="21"/>
      <c r="AB84" s="20"/>
      <c r="AC84" s="20"/>
    </row>
    <row r="85">
      <c r="G85" s="21"/>
      <c r="H85" s="21"/>
      <c r="AB85" s="20"/>
      <c r="AC85" s="20"/>
    </row>
    <row r="86">
      <c r="G86" s="21"/>
      <c r="H86" s="21"/>
      <c r="AB86" s="20"/>
      <c r="AC86" s="20"/>
    </row>
    <row r="87">
      <c r="G87" s="21"/>
      <c r="H87" s="21"/>
      <c r="AB87" s="20"/>
      <c r="AC87" s="20"/>
    </row>
    <row r="88">
      <c r="G88" s="21"/>
      <c r="H88" s="21"/>
      <c r="AB88" s="20"/>
      <c r="AC88" s="20"/>
    </row>
    <row r="89">
      <c r="G89" s="21"/>
      <c r="H89" s="21"/>
      <c r="AB89" s="20"/>
      <c r="AC89" s="20"/>
    </row>
    <row r="90">
      <c r="G90" s="21"/>
      <c r="H90" s="21"/>
      <c r="AB90" s="20"/>
      <c r="AC90" s="20"/>
    </row>
    <row r="91">
      <c r="G91" s="21"/>
      <c r="H91" s="21"/>
      <c r="AB91" s="20"/>
      <c r="AC91" s="20"/>
    </row>
    <row r="92">
      <c r="G92" s="21"/>
      <c r="H92" s="21"/>
      <c r="AB92" s="20"/>
      <c r="AC92" s="20"/>
    </row>
    <row r="93">
      <c r="G93" s="21"/>
      <c r="H93" s="21"/>
      <c r="AB93" s="20"/>
      <c r="AC93" s="20"/>
    </row>
    <row r="94">
      <c r="G94" s="21"/>
      <c r="H94" s="21"/>
      <c r="AB94" s="20"/>
      <c r="AC94" s="20"/>
    </row>
    <row r="95">
      <c r="G95" s="21"/>
      <c r="H95" s="21"/>
      <c r="AB95" s="20"/>
      <c r="AC95" s="20"/>
    </row>
    <row r="96">
      <c r="G96" s="21"/>
      <c r="H96" s="21"/>
      <c r="AB96" s="20"/>
      <c r="AC96" s="20"/>
    </row>
    <row r="97">
      <c r="G97" s="21"/>
      <c r="H97" s="21"/>
      <c r="AB97" s="20"/>
      <c r="AC97" s="20"/>
    </row>
    <row r="98">
      <c r="G98" s="21"/>
      <c r="H98" s="21"/>
      <c r="AB98" s="20"/>
      <c r="AC98" s="20"/>
    </row>
    <row r="99">
      <c r="G99" s="21"/>
      <c r="H99" s="21"/>
      <c r="AB99" s="20"/>
      <c r="AC99" s="20"/>
    </row>
    <row r="100">
      <c r="G100" s="21"/>
      <c r="H100" s="21"/>
      <c r="AB100" s="20"/>
      <c r="AC100" s="20"/>
    </row>
    <row r="101">
      <c r="G101" s="21"/>
      <c r="H101" s="21"/>
      <c r="AB101" s="20"/>
      <c r="AC101" s="20"/>
    </row>
    <row r="102">
      <c r="G102" s="21"/>
      <c r="H102" s="21"/>
      <c r="AB102" s="20"/>
      <c r="AC102" s="20"/>
    </row>
    <row r="103">
      <c r="G103" s="21"/>
      <c r="H103" s="21"/>
      <c r="AB103" s="20"/>
      <c r="AC103" s="20"/>
    </row>
    <row r="104">
      <c r="G104" s="21"/>
      <c r="H104" s="21"/>
      <c r="AB104" s="20"/>
      <c r="AC104" s="20"/>
    </row>
    <row r="105">
      <c r="G105" s="21"/>
      <c r="H105" s="21"/>
      <c r="AB105" s="20"/>
      <c r="AC105" s="20"/>
    </row>
    <row r="106">
      <c r="G106" s="21"/>
      <c r="H106" s="21"/>
      <c r="AB106" s="20"/>
      <c r="AC106" s="20"/>
    </row>
    <row r="107">
      <c r="G107" s="21"/>
      <c r="H107" s="21"/>
      <c r="AB107" s="20"/>
      <c r="AC107" s="20"/>
    </row>
    <row r="108">
      <c r="G108" s="21"/>
      <c r="H108" s="21"/>
      <c r="AB108" s="20"/>
      <c r="AC108" s="20"/>
    </row>
    <row r="109">
      <c r="G109" s="21"/>
      <c r="H109" s="21"/>
      <c r="AB109" s="20"/>
      <c r="AC109" s="20"/>
    </row>
    <row r="110">
      <c r="G110" s="21"/>
      <c r="H110" s="21"/>
      <c r="AB110" s="20"/>
      <c r="AC110" s="20"/>
    </row>
    <row r="111">
      <c r="G111" s="21"/>
      <c r="H111" s="21"/>
      <c r="AB111" s="20"/>
      <c r="AC111" s="20"/>
    </row>
    <row r="112">
      <c r="G112" s="21"/>
      <c r="H112" s="21"/>
      <c r="AB112" s="20"/>
      <c r="AC112" s="20"/>
    </row>
    <row r="113">
      <c r="G113" s="21"/>
      <c r="H113" s="21"/>
      <c r="AB113" s="20"/>
      <c r="AC113" s="20"/>
    </row>
    <row r="114">
      <c r="G114" s="21"/>
      <c r="H114" s="21"/>
      <c r="AB114" s="20"/>
      <c r="AC114" s="20"/>
    </row>
    <row r="115">
      <c r="G115" s="21"/>
      <c r="H115" s="21"/>
      <c r="AB115" s="20"/>
      <c r="AC115" s="20"/>
    </row>
    <row r="116">
      <c r="G116" s="21"/>
      <c r="H116" s="21"/>
      <c r="AB116" s="20"/>
      <c r="AC116" s="20"/>
    </row>
    <row r="117">
      <c r="G117" s="21"/>
      <c r="H117" s="21"/>
      <c r="AB117" s="20"/>
      <c r="AC117" s="20"/>
    </row>
    <row r="118">
      <c r="G118" s="21"/>
      <c r="H118" s="21"/>
      <c r="AB118" s="20"/>
      <c r="AC118" s="20"/>
    </row>
    <row r="119">
      <c r="G119" s="21"/>
      <c r="H119" s="21"/>
      <c r="AB119" s="20"/>
      <c r="AC119" s="20"/>
    </row>
    <row r="120">
      <c r="G120" s="21"/>
      <c r="H120" s="21"/>
      <c r="AB120" s="20"/>
      <c r="AC120" s="20"/>
    </row>
    <row r="121">
      <c r="G121" s="21"/>
      <c r="H121" s="21"/>
      <c r="AB121" s="20"/>
      <c r="AC121" s="20"/>
    </row>
    <row r="122">
      <c r="G122" s="21"/>
      <c r="H122" s="21"/>
      <c r="AB122" s="20"/>
      <c r="AC122" s="20"/>
    </row>
    <row r="123">
      <c r="G123" s="21"/>
      <c r="H123" s="21"/>
      <c r="AB123" s="20"/>
      <c r="AC123" s="20"/>
    </row>
    <row r="124">
      <c r="G124" s="21"/>
      <c r="H124" s="21"/>
      <c r="AB124" s="20"/>
      <c r="AC124" s="20"/>
    </row>
    <row r="125">
      <c r="G125" s="21"/>
      <c r="H125" s="21"/>
      <c r="AB125" s="20"/>
      <c r="AC125" s="20"/>
    </row>
    <row r="126">
      <c r="G126" s="21"/>
      <c r="H126" s="21"/>
      <c r="AB126" s="20"/>
      <c r="AC126" s="20"/>
    </row>
    <row r="127">
      <c r="G127" s="21"/>
      <c r="H127" s="21"/>
      <c r="AB127" s="20"/>
      <c r="AC127" s="20"/>
    </row>
    <row r="128">
      <c r="G128" s="21"/>
      <c r="H128" s="21"/>
      <c r="AB128" s="20"/>
      <c r="AC128" s="20"/>
    </row>
    <row r="129">
      <c r="G129" s="21"/>
      <c r="H129" s="21"/>
      <c r="AB129" s="20"/>
      <c r="AC129" s="20"/>
    </row>
    <row r="130">
      <c r="G130" s="21"/>
      <c r="H130" s="21"/>
      <c r="AB130" s="20"/>
      <c r="AC130" s="20"/>
    </row>
    <row r="131">
      <c r="G131" s="21"/>
      <c r="H131" s="21"/>
      <c r="AB131" s="20"/>
      <c r="AC131" s="20"/>
    </row>
    <row r="132">
      <c r="G132" s="21"/>
      <c r="H132" s="21"/>
      <c r="AB132" s="20"/>
      <c r="AC132" s="20"/>
    </row>
    <row r="133">
      <c r="G133" s="21"/>
      <c r="H133" s="21"/>
      <c r="AB133" s="20"/>
      <c r="AC133" s="20"/>
    </row>
    <row r="134">
      <c r="G134" s="21"/>
      <c r="H134" s="21"/>
      <c r="AB134" s="20"/>
      <c r="AC134" s="20"/>
    </row>
    <row r="135">
      <c r="G135" s="21"/>
      <c r="H135" s="21"/>
      <c r="AB135" s="20"/>
      <c r="AC135" s="20"/>
    </row>
    <row r="136">
      <c r="G136" s="21"/>
      <c r="H136" s="21"/>
      <c r="AB136" s="20"/>
      <c r="AC136" s="20"/>
    </row>
    <row r="137">
      <c r="G137" s="21"/>
      <c r="H137" s="21"/>
      <c r="AB137" s="20"/>
      <c r="AC137" s="20"/>
    </row>
    <row r="138">
      <c r="G138" s="21"/>
      <c r="H138" s="21"/>
      <c r="AB138" s="20"/>
      <c r="AC138" s="20"/>
    </row>
    <row r="139">
      <c r="G139" s="21"/>
      <c r="H139" s="21"/>
      <c r="AB139" s="20"/>
      <c r="AC139" s="20"/>
    </row>
    <row r="140">
      <c r="G140" s="21"/>
      <c r="H140" s="21"/>
      <c r="AB140" s="20"/>
      <c r="AC140" s="20"/>
    </row>
    <row r="141">
      <c r="G141" s="21"/>
      <c r="H141" s="21"/>
      <c r="AB141" s="20"/>
      <c r="AC141" s="20"/>
    </row>
    <row r="142">
      <c r="G142" s="21"/>
      <c r="H142" s="21"/>
      <c r="AB142" s="20"/>
      <c r="AC142" s="20"/>
    </row>
    <row r="143">
      <c r="G143" s="21"/>
      <c r="H143" s="21"/>
      <c r="AB143" s="20"/>
      <c r="AC143" s="20"/>
    </row>
    <row r="144">
      <c r="G144" s="21"/>
      <c r="H144" s="21"/>
      <c r="AB144" s="20"/>
      <c r="AC144" s="20"/>
    </row>
    <row r="145">
      <c r="G145" s="21"/>
      <c r="H145" s="21"/>
      <c r="AB145" s="20"/>
      <c r="AC145" s="20"/>
    </row>
    <row r="146">
      <c r="G146" s="21"/>
      <c r="H146" s="21"/>
      <c r="AB146" s="20"/>
      <c r="AC146" s="20"/>
    </row>
    <row r="147">
      <c r="G147" s="21"/>
      <c r="H147" s="21"/>
      <c r="AB147" s="20"/>
      <c r="AC147" s="20"/>
    </row>
    <row r="148">
      <c r="G148" s="21"/>
      <c r="H148" s="21"/>
      <c r="AB148" s="20"/>
      <c r="AC148" s="20"/>
    </row>
    <row r="149">
      <c r="G149" s="21"/>
      <c r="H149" s="21"/>
      <c r="AB149" s="20"/>
      <c r="AC149" s="20"/>
    </row>
    <row r="150">
      <c r="G150" s="21"/>
      <c r="H150" s="21"/>
      <c r="AB150" s="20"/>
      <c r="AC150" s="20"/>
    </row>
    <row r="151">
      <c r="G151" s="21"/>
      <c r="H151" s="21"/>
      <c r="AB151" s="20"/>
      <c r="AC151" s="20"/>
    </row>
    <row r="152">
      <c r="G152" s="21"/>
      <c r="H152" s="21"/>
      <c r="AB152" s="20"/>
      <c r="AC152" s="20"/>
    </row>
    <row r="153">
      <c r="G153" s="21"/>
      <c r="H153" s="21"/>
      <c r="AB153" s="20"/>
      <c r="AC153" s="20"/>
    </row>
    <row r="154">
      <c r="G154" s="21"/>
      <c r="H154" s="21"/>
      <c r="AB154" s="20"/>
      <c r="AC154" s="20"/>
    </row>
    <row r="155">
      <c r="G155" s="21"/>
      <c r="H155" s="21"/>
      <c r="AB155" s="20"/>
      <c r="AC155" s="20"/>
    </row>
    <row r="156">
      <c r="G156" s="21"/>
      <c r="H156" s="21"/>
      <c r="AB156" s="20"/>
      <c r="AC156" s="20"/>
    </row>
    <row r="157">
      <c r="G157" s="21"/>
      <c r="H157" s="21"/>
      <c r="AB157" s="20"/>
      <c r="AC157" s="20"/>
    </row>
    <row r="158">
      <c r="G158" s="21"/>
      <c r="H158" s="21"/>
      <c r="AB158" s="20"/>
      <c r="AC158" s="20"/>
    </row>
    <row r="159">
      <c r="G159" s="21"/>
      <c r="H159" s="21"/>
      <c r="AB159" s="20"/>
      <c r="AC159" s="20"/>
    </row>
    <row r="160">
      <c r="G160" s="21"/>
      <c r="H160" s="21"/>
      <c r="AB160" s="20"/>
      <c r="AC160" s="20"/>
    </row>
    <row r="161">
      <c r="G161" s="21"/>
      <c r="H161" s="21"/>
      <c r="AB161" s="20"/>
      <c r="AC161" s="20"/>
    </row>
    <row r="162">
      <c r="G162" s="21"/>
      <c r="H162" s="21"/>
      <c r="AB162" s="20"/>
      <c r="AC162" s="20"/>
    </row>
    <row r="163">
      <c r="G163" s="21"/>
      <c r="H163" s="21"/>
      <c r="AB163" s="20"/>
      <c r="AC163" s="20"/>
    </row>
    <row r="164">
      <c r="G164" s="21"/>
      <c r="H164" s="21"/>
      <c r="AB164" s="20"/>
      <c r="AC164" s="20"/>
    </row>
    <row r="165">
      <c r="G165" s="21"/>
      <c r="H165" s="21"/>
      <c r="AB165" s="20"/>
      <c r="AC165" s="20"/>
    </row>
    <row r="166">
      <c r="G166" s="21"/>
      <c r="H166" s="21"/>
      <c r="AB166" s="20"/>
      <c r="AC166" s="20"/>
    </row>
    <row r="167">
      <c r="G167" s="21"/>
      <c r="H167" s="21"/>
      <c r="AB167" s="20"/>
      <c r="AC167" s="20"/>
    </row>
    <row r="168">
      <c r="G168" s="21"/>
      <c r="H168" s="21"/>
      <c r="AB168" s="20"/>
      <c r="AC168" s="20"/>
    </row>
    <row r="169">
      <c r="G169" s="21"/>
      <c r="H169" s="21"/>
      <c r="AB169" s="20"/>
      <c r="AC169" s="20"/>
    </row>
    <row r="170">
      <c r="G170" s="21"/>
      <c r="H170" s="21"/>
      <c r="AB170" s="20"/>
      <c r="AC170" s="20"/>
    </row>
    <row r="171">
      <c r="G171" s="21"/>
      <c r="H171" s="21"/>
      <c r="AB171" s="20"/>
      <c r="AC171" s="20"/>
    </row>
    <row r="172">
      <c r="G172" s="21"/>
      <c r="H172" s="21"/>
      <c r="AB172" s="20"/>
      <c r="AC172" s="20"/>
    </row>
    <row r="173">
      <c r="G173" s="21"/>
      <c r="H173" s="21"/>
      <c r="AB173" s="20"/>
      <c r="AC173" s="20"/>
    </row>
    <row r="174">
      <c r="G174" s="21"/>
      <c r="H174" s="21"/>
      <c r="AB174" s="20"/>
      <c r="AC174" s="20"/>
    </row>
    <row r="175">
      <c r="G175" s="21"/>
      <c r="H175" s="21"/>
      <c r="AB175" s="20"/>
      <c r="AC175" s="20"/>
    </row>
    <row r="176">
      <c r="G176" s="21"/>
      <c r="H176" s="21"/>
      <c r="AB176" s="20"/>
      <c r="AC176" s="20"/>
    </row>
    <row r="177">
      <c r="G177" s="21"/>
      <c r="H177" s="21"/>
      <c r="AB177" s="20"/>
      <c r="AC177" s="20"/>
    </row>
    <row r="178">
      <c r="G178" s="21"/>
      <c r="H178" s="21"/>
      <c r="AB178" s="20"/>
      <c r="AC178" s="20"/>
    </row>
    <row r="179">
      <c r="G179" s="21"/>
      <c r="H179" s="21"/>
      <c r="AB179" s="20"/>
      <c r="AC179" s="20"/>
    </row>
    <row r="180">
      <c r="G180" s="21"/>
      <c r="H180" s="21"/>
      <c r="AB180" s="20"/>
      <c r="AC180" s="20"/>
    </row>
    <row r="181">
      <c r="G181" s="21"/>
      <c r="H181" s="21"/>
      <c r="AB181" s="20"/>
      <c r="AC181" s="20"/>
    </row>
    <row r="182">
      <c r="G182" s="21"/>
      <c r="H182" s="21"/>
      <c r="AB182" s="20"/>
      <c r="AC182" s="20"/>
    </row>
    <row r="183">
      <c r="G183" s="21"/>
      <c r="H183" s="21"/>
      <c r="AB183" s="20"/>
      <c r="AC183" s="20"/>
    </row>
    <row r="184">
      <c r="G184" s="21"/>
      <c r="H184" s="21"/>
      <c r="AB184" s="20"/>
      <c r="AC184" s="20"/>
    </row>
    <row r="185">
      <c r="G185" s="21"/>
      <c r="H185" s="21"/>
      <c r="AB185" s="20"/>
      <c r="AC185" s="20"/>
    </row>
    <row r="186">
      <c r="G186" s="21"/>
      <c r="H186" s="21"/>
      <c r="AB186" s="20"/>
      <c r="AC186" s="20"/>
    </row>
    <row r="187">
      <c r="G187" s="21"/>
      <c r="H187" s="21"/>
      <c r="AB187" s="20"/>
      <c r="AC187" s="20"/>
    </row>
    <row r="188">
      <c r="G188" s="21"/>
      <c r="H188" s="21"/>
      <c r="AB188" s="20"/>
      <c r="AC188" s="20"/>
    </row>
    <row r="189">
      <c r="G189" s="21"/>
      <c r="H189" s="21"/>
      <c r="AB189" s="20"/>
      <c r="AC189" s="20"/>
    </row>
    <row r="190">
      <c r="G190" s="21"/>
      <c r="H190" s="21"/>
      <c r="AB190" s="20"/>
      <c r="AC190" s="20"/>
    </row>
    <row r="191">
      <c r="G191" s="21"/>
      <c r="H191" s="21"/>
      <c r="AB191" s="20"/>
      <c r="AC191" s="20"/>
    </row>
    <row r="192">
      <c r="G192" s="21"/>
      <c r="H192" s="21"/>
      <c r="AB192" s="20"/>
      <c r="AC192" s="20"/>
    </row>
    <row r="193">
      <c r="G193" s="21"/>
      <c r="H193" s="21"/>
      <c r="AB193" s="20"/>
      <c r="AC193" s="20"/>
    </row>
    <row r="194">
      <c r="G194" s="21"/>
      <c r="H194" s="21"/>
      <c r="AB194" s="20"/>
      <c r="AC194" s="20"/>
    </row>
    <row r="195">
      <c r="G195" s="21"/>
      <c r="H195" s="21"/>
      <c r="AB195" s="20"/>
      <c r="AC195" s="20"/>
    </row>
    <row r="196">
      <c r="G196" s="21"/>
      <c r="H196" s="21"/>
      <c r="AB196" s="20"/>
      <c r="AC196" s="20"/>
    </row>
    <row r="197">
      <c r="G197" s="21"/>
      <c r="H197" s="21"/>
      <c r="AB197" s="20"/>
      <c r="AC197" s="20"/>
    </row>
    <row r="198">
      <c r="G198" s="21"/>
      <c r="H198" s="21"/>
      <c r="AB198" s="20"/>
      <c r="AC198" s="20"/>
    </row>
    <row r="199">
      <c r="G199" s="21"/>
      <c r="H199" s="21"/>
      <c r="AB199" s="20"/>
      <c r="AC199" s="20"/>
    </row>
    <row r="200">
      <c r="G200" s="21"/>
      <c r="H200" s="21"/>
      <c r="AB200" s="20"/>
      <c r="AC200" s="20"/>
    </row>
    <row r="201">
      <c r="G201" s="21"/>
      <c r="H201" s="21"/>
      <c r="AB201" s="20"/>
      <c r="AC201" s="20"/>
    </row>
    <row r="202">
      <c r="G202" s="21"/>
      <c r="H202" s="21"/>
      <c r="AB202" s="20"/>
      <c r="AC202" s="20"/>
    </row>
    <row r="203">
      <c r="G203" s="21"/>
      <c r="H203" s="21"/>
      <c r="AB203" s="20"/>
      <c r="AC203" s="20"/>
    </row>
    <row r="204">
      <c r="G204" s="21"/>
      <c r="H204" s="21"/>
      <c r="AB204" s="20"/>
      <c r="AC204" s="20"/>
    </row>
    <row r="205">
      <c r="G205" s="21"/>
      <c r="H205" s="21"/>
      <c r="AB205" s="20"/>
      <c r="AC205" s="20"/>
    </row>
    <row r="206">
      <c r="G206" s="21"/>
      <c r="H206" s="21"/>
      <c r="AB206" s="20"/>
      <c r="AC206" s="20"/>
    </row>
    <row r="207">
      <c r="G207" s="21"/>
      <c r="H207" s="21"/>
      <c r="AB207" s="20"/>
      <c r="AC207" s="20"/>
    </row>
    <row r="208">
      <c r="G208" s="21"/>
      <c r="H208" s="21"/>
      <c r="AB208" s="20"/>
      <c r="AC208" s="20"/>
    </row>
    <row r="209">
      <c r="G209" s="21"/>
      <c r="H209" s="21"/>
      <c r="AB209" s="20"/>
      <c r="AC209" s="20"/>
    </row>
    <row r="210">
      <c r="G210" s="21"/>
      <c r="H210" s="21"/>
      <c r="AB210" s="20"/>
      <c r="AC210" s="20"/>
    </row>
    <row r="211">
      <c r="G211" s="21"/>
      <c r="H211" s="21"/>
      <c r="AB211" s="20"/>
      <c r="AC211" s="20"/>
    </row>
    <row r="212">
      <c r="G212" s="21"/>
      <c r="H212" s="21"/>
      <c r="AB212" s="20"/>
      <c r="AC212" s="20"/>
    </row>
    <row r="213">
      <c r="G213" s="21"/>
      <c r="H213" s="21"/>
      <c r="AB213" s="20"/>
      <c r="AC213" s="20"/>
    </row>
    <row r="214">
      <c r="G214" s="21"/>
      <c r="H214" s="21"/>
      <c r="AB214" s="20"/>
      <c r="AC214" s="20"/>
    </row>
    <row r="215">
      <c r="G215" s="21"/>
      <c r="H215" s="21"/>
      <c r="AB215" s="20"/>
      <c r="AC215" s="20"/>
    </row>
    <row r="216">
      <c r="G216" s="21"/>
      <c r="H216" s="21"/>
      <c r="AB216" s="20"/>
      <c r="AC216" s="20"/>
    </row>
    <row r="217">
      <c r="G217" s="21"/>
      <c r="H217" s="21"/>
      <c r="AB217" s="20"/>
      <c r="AC217" s="20"/>
    </row>
    <row r="218">
      <c r="G218" s="21"/>
      <c r="H218" s="21"/>
      <c r="AB218" s="20"/>
      <c r="AC218" s="20"/>
    </row>
    <row r="219">
      <c r="G219" s="21"/>
      <c r="H219" s="21"/>
      <c r="AB219" s="20"/>
      <c r="AC219" s="20"/>
    </row>
    <row r="220">
      <c r="G220" s="21"/>
      <c r="H220" s="21"/>
      <c r="AB220" s="20"/>
      <c r="AC220" s="20"/>
    </row>
    <row r="221">
      <c r="G221" s="21"/>
      <c r="H221" s="21"/>
      <c r="AB221" s="20"/>
      <c r="AC221" s="20"/>
    </row>
    <row r="222">
      <c r="G222" s="21"/>
      <c r="H222" s="21"/>
      <c r="AB222" s="20"/>
      <c r="AC222" s="20"/>
    </row>
    <row r="223">
      <c r="G223" s="21"/>
      <c r="H223" s="21"/>
      <c r="AB223" s="20"/>
      <c r="AC223" s="20"/>
    </row>
    <row r="224">
      <c r="G224" s="21"/>
      <c r="H224" s="21"/>
      <c r="AB224" s="20"/>
      <c r="AC224" s="20"/>
    </row>
    <row r="225">
      <c r="G225" s="21"/>
      <c r="H225" s="21"/>
      <c r="AB225" s="20"/>
      <c r="AC225" s="20"/>
    </row>
    <row r="226">
      <c r="G226" s="21"/>
      <c r="H226" s="21"/>
      <c r="AB226" s="20"/>
      <c r="AC226" s="20"/>
    </row>
    <row r="227">
      <c r="G227" s="21"/>
      <c r="H227" s="21"/>
      <c r="AB227" s="20"/>
      <c r="AC227" s="20"/>
    </row>
    <row r="228">
      <c r="G228" s="21"/>
      <c r="H228" s="21"/>
      <c r="AB228" s="20"/>
      <c r="AC228" s="20"/>
    </row>
    <row r="229">
      <c r="G229" s="21"/>
      <c r="H229" s="21"/>
      <c r="AB229" s="20"/>
      <c r="AC229" s="20"/>
    </row>
    <row r="230">
      <c r="G230" s="21"/>
      <c r="H230" s="21"/>
      <c r="AB230" s="20"/>
      <c r="AC230" s="20"/>
    </row>
    <row r="231">
      <c r="G231" s="21"/>
      <c r="H231" s="21"/>
      <c r="AB231" s="20"/>
      <c r="AC231" s="20"/>
    </row>
    <row r="232">
      <c r="G232" s="21"/>
      <c r="H232" s="21"/>
      <c r="AB232" s="20"/>
      <c r="AC232" s="20"/>
    </row>
    <row r="233">
      <c r="G233" s="21"/>
      <c r="H233" s="21"/>
      <c r="AB233" s="20"/>
      <c r="AC233" s="20"/>
    </row>
    <row r="234">
      <c r="G234" s="21"/>
      <c r="H234" s="21"/>
      <c r="AB234" s="20"/>
      <c r="AC234" s="20"/>
    </row>
    <row r="235">
      <c r="G235" s="21"/>
      <c r="H235" s="21"/>
      <c r="AB235" s="20"/>
      <c r="AC235" s="20"/>
    </row>
    <row r="236">
      <c r="G236" s="21"/>
      <c r="H236" s="21"/>
      <c r="AB236" s="20"/>
      <c r="AC236" s="20"/>
    </row>
    <row r="237">
      <c r="G237" s="21"/>
      <c r="H237" s="21"/>
      <c r="AB237" s="20"/>
      <c r="AC237" s="20"/>
    </row>
    <row r="238">
      <c r="G238" s="21"/>
      <c r="H238" s="21"/>
      <c r="AB238" s="20"/>
      <c r="AC238" s="20"/>
    </row>
    <row r="239">
      <c r="G239" s="21"/>
      <c r="H239" s="21"/>
      <c r="AB239" s="20"/>
      <c r="AC239" s="20"/>
    </row>
    <row r="240">
      <c r="G240" s="21"/>
      <c r="H240" s="21"/>
      <c r="AB240" s="20"/>
      <c r="AC240" s="20"/>
    </row>
    <row r="241">
      <c r="G241" s="21"/>
      <c r="H241" s="21"/>
      <c r="AB241" s="20"/>
      <c r="AC241" s="20"/>
    </row>
    <row r="242">
      <c r="G242" s="21"/>
      <c r="H242" s="21"/>
      <c r="AB242" s="20"/>
      <c r="AC242" s="20"/>
    </row>
    <row r="243">
      <c r="G243" s="21"/>
      <c r="H243" s="21"/>
      <c r="AB243" s="20"/>
      <c r="AC243" s="20"/>
    </row>
    <row r="244">
      <c r="G244" s="21"/>
      <c r="H244" s="21"/>
      <c r="AB244" s="20"/>
      <c r="AC244" s="20"/>
    </row>
    <row r="245">
      <c r="G245" s="21"/>
      <c r="H245" s="21"/>
      <c r="AB245" s="20"/>
      <c r="AC245" s="20"/>
    </row>
    <row r="246">
      <c r="G246" s="21"/>
      <c r="H246" s="21"/>
      <c r="AB246" s="20"/>
      <c r="AC246" s="20"/>
    </row>
    <row r="247">
      <c r="G247" s="21"/>
      <c r="H247" s="21"/>
      <c r="AB247" s="20"/>
      <c r="AC247" s="20"/>
    </row>
    <row r="248">
      <c r="G248" s="21"/>
      <c r="H248" s="21"/>
      <c r="AB248" s="20"/>
      <c r="AC248" s="20"/>
    </row>
    <row r="249">
      <c r="G249" s="21"/>
      <c r="H249" s="21"/>
      <c r="AB249" s="20"/>
      <c r="AC249" s="20"/>
    </row>
    <row r="250">
      <c r="G250" s="21"/>
      <c r="H250" s="21"/>
      <c r="AB250" s="20"/>
      <c r="AC250" s="20"/>
    </row>
    <row r="251">
      <c r="G251" s="21"/>
      <c r="H251" s="21"/>
      <c r="AB251" s="20"/>
      <c r="AC251" s="20"/>
    </row>
    <row r="252">
      <c r="G252" s="21"/>
      <c r="H252" s="21"/>
      <c r="AB252" s="20"/>
      <c r="AC252" s="20"/>
    </row>
    <row r="253">
      <c r="G253" s="21"/>
      <c r="H253" s="21"/>
      <c r="AB253" s="20"/>
      <c r="AC253" s="20"/>
    </row>
    <row r="254">
      <c r="G254" s="21"/>
      <c r="H254" s="21"/>
      <c r="AB254" s="20"/>
      <c r="AC254" s="20"/>
    </row>
    <row r="255">
      <c r="G255" s="21"/>
      <c r="H255" s="21"/>
      <c r="AB255" s="20"/>
      <c r="AC255" s="20"/>
    </row>
    <row r="256">
      <c r="G256" s="21"/>
      <c r="H256" s="21"/>
      <c r="AB256" s="20"/>
      <c r="AC256" s="20"/>
    </row>
    <row r="257">
      <c r="G257" s="21"/>
      <c r="H257" s="21"/>
      <c r="AB257" s="20"/>
      <c r="AC257" s="20"/>
    </row>
    <row r="258">
      <c r="G258" s="21"/>
      <c r="H258" s="21"/>
      <c r="AB258" s="20"/>
      <c r="AC258" s="20"/>
    </row>
    <row r="259">
      <c r="G259" s="21"/>
      <c r="H259" s="21"/>
      <c r="AB259" s="20"/>
      <c r="AC259" s="20"/>
    </row>
    <row r="260">
      <c r="G260" s="21"/>
      <c r="H260" s="21"/>
      <c r="AB260" s="20"/>
      <c r="AC260" s="20"/>
    </row>
    <row r="261">
      <c r="G261" s="21"/>
      <c r="H261" s="21"/>
      <c r="AB261" s="20"/>
      <c r="AC261" s="20"/>
    </row>
    <row r="262">
      <c r="G262" s="21"/>
      <c r="H262" s="21"/>
      <c r="AB262" s="20"/>
      <c r="AC262" s="20"/>
    </row>
    <row r="263">
      <c r="G263" s="21"/>
      <c r="H263" s="21"/>
      <c r="AB263" s="20"/>
      <c r="AC263" s="20"/>
    </row>
    <row r="264">
      <c r="G264" s="21"/>
      <c r="H264" s="21"/>
      <c r="AB264" s="20"/>
      <c r="AC264" s="20"/>
    </row>
    <row r="265">
      <c r="G265" s="21"/>
      <c r="H265" s="21"/>
      <c r="AB265" s="20"/>
      <c r="AC265" s="20"/>
    </row>
    <row r="266">
      <c r="G266" s="21"/>
      <c r="H266" s="21"/>
      <c r="AB266" s="20"/>
      <c r="AC266" s="20"/>
    </row>
    <row r="267">
      <c r="G267" s="21"/>
      <c r="H267" s="21"/>
      <c r="AB267" s="20"/>
      <c r="AC267" s="20"/>
    </row>
    <row r="268">
      <c r="G268" s="21"/>
      <c r="H268" s="21"/>
      <c r="AB268" s="20"/>
      <c r="AC268" s="20"/>
    </row>
    <row r="269">
      <c r="G269" s="21"/>
      <c r="H269" s="21"/>
      <c r="AB269" s="20"/>
      <c r="AC269" s="20"/>
    </row>
    <row r="270">
      <c r="G270" s="21"/>
      <c r="H270" s="21"/>
      <c r="AB270" s="20"/>
      <c r="AC270" s="20"/>
    </row>
    <row r="271">
      <c r="G271" s="21"/>
      <c r="H271" s="21"/>
      <c r="AB271" s="20"/>
      <c r="AC271" s="20"/>
    </row>
    <row r="272">
      <c r="G272" s="21"/>
      <c r="H272" s="21"/>
      <c r="AB272" s="20"/>
      <c r="AC272" s="20"/>
    </row>
    <row r="273">
      <c r="G273" s="21"/>
      <c r="H273" s="21"/>
      <c r="AB273" s="20"/>
      <c r="AC273" s="20"/>
    </row>
    <row r="274">
      <c r="G274" s="21"/>
      <c r="H274" s="21"/>
      <c r="AB274" s="20"/>
      <c r="AC274" s="20"/>
    </row>
    <row r="275">
      <c r="G275" s="21"/>
      <c r="H275" s="21"/>
      <c r="AB275" s="20"/>
      <c r="AC275" s="20"/>
    </row>
    <row r="276">
      <c r="G276" s="21"/>
      <c r="H276" s="21"/>
      <c r="AB276" s="20"/>
      <c r="AC276" s="20"/>
    </row>
    <row r="277">
      <c r="G277" s="21"/>
      <c r="H277" s="21"/>
      <c r="AB277" s="20"/>
      <c r="AC277" s="20"/>
    </row>
    <row r="278">
      <c r="G278" s="21"/>
      <c r="H278" s="21"/>
      <c r="AB278" s="20"/>
      <c r="AC278" s="20"/>
    </row>
    <row r="279">
      <c r="G279" s="21"/>
      <c r="H279" s="21"/>
      <c r="AB279" s="20"/>
      <c r="AC279" s="20"/>
    </row>
    <row r="280">
      <c r="G280" s="21"/>
      <c r="H280" s="21"/>
      <c r="AB280" s="20"/>
      <c r="AC280" s="20"/>
    </row>
    <row r="281">
      <c r="G281" s="21"/>
      <c r="H281" s="21"/>
      <c r="AB281" s="20"/>
      <c r="AC281" s="20"/>
    </row>
    <row r="282">
      <c r="G282" s="21"/>
      <c r="H282" s="21"/>
      <c r="AB282" s="20"/>
      <c r="AC282" s="20"/>
    </row>
    <row r="283">
      <c r="G283" s="21"/>
      <c r="H283" s="21"/>
      <c r="AB283" s="20"/>
      <c r="AC283" s="20"/>
    </row>
    <row r="284">
      <c r="G284" s="21"/>
      <c r="H284" s="21"/>
      <c r="AB284" s="20"/>
      <c r="AC284" s="20"/>
    </row>
    <row r="285">
      <c r="G285" s="21"/>
      <c r="H285" s="21"/>
      <c r="AB285" s="20"/>
      <c r="AC285" s="20"/>
    </row>
    <row r="286">
      <c r="G286" s="21"/>
      <c r="H286" s="21"/>
      <c r="AB286" s="20"/>
      <c r="AC286" s="20"/>
    </row>
    <row r="287">
      <c r="G287" s="21"/>
      <c r="H287" s="21"/>
      <c r="AB287" s="20"/>
      <c r="AC287" s="20"/>
    </row>
    <row r="288">
      <c r="G288" s="21"/>
      <c r="H288" s="21"/>
      <c r="AB288" s="20"/>
      <c r="AC288" s="20"/>
    </row>
    <row r="289">
      <c r="G289" s="21"/>
      <c r="H289" s="21"/>
      <c r="AB289" s="20"/>
      <c r="AC289" s="20"/>
    </row>
    <row r="290">
      <c r="G290" s="21"/>
      <c r="H290" s="21"/>
      <c r="AB290" s="20"/>
      <c r="AC290" s="20"/>
    </row>
    <row r="291">
      <c r="G291" s="21"/>
      <c r="H291" s="21"/>
      <c r="AB291" s="20"/>
      <c r="AC291" s="20"/>
    </row>
    <row r="292">
      <c r="G292" s="21"/>
      <c r="H292" s="21"/>
      <c r="AB292" s="20"/>
      <c r="AC292" s="20"/>
    </row>
    <row r="293">
      <c r="G293" s="21"/>
      <c r="H293" s="21"/>
      <c r="AB293" s="20"/>
      <c r="AC293" s="20"/>
    </row>
    <row r="294">
      <c r="G294" s="21"/>
      <c r="H294" s="21"/>
      <c r="AB294" s="20"/>
      <c r="AC294" s="20"/>
    </row>
    <row r="295">
      <c r="G295" s="21"/>
      <c r="H295" s="21"/>
      <c r="AB295" s="20"/>
      <c r="AC295" s="20"/>
    </row>
    <row r="296">
      <c r="G296" s="21"/>
      <c r="H296" s="21"/>
      <c r="AB296" s="20"/>
      <c r="AC296" s="20"/>
    </row>
    <row r="297">
      <c r="G297" s="21"/>
      <c r="H297" s="21"/>
      <c r="AB297" s="20"/>
      <c r="AC297" s="20"/>
    </row>
    <row r="298">
      <c r="G298" s="21"/>
      <c r="H298" s="21"/>
      <c r="AB298" s="20"/>
      <c r="AC298" s="20"/>
    </row>
    <row r="299">
      <c r="G299" s="21"/>
      <c r="H299" s="21"/>
      <c r="AB299" s="20"/>
      <c r="AC299" s="20"/>
    </row>
    <row r="300">
      <c r="G300" s="21"/>
      <c r="H300" s="21"/>
      <c r="AB300" s="20"/>
      <c r="AC300" s="20"/>
    </row>
    <row r="301">
      <c r="G301" s="21"/>
      <c r="H301" s="21"/>
      <c r="AB301" s="20"/>
      <c r="AC301" s="20"/>
    </row>
    <row r="302">
      <c r="G302" s="21"/>
      <c r="H302" s="21"/>
      <c r="AB302" s="20"/>
      <c r="AC302" s="20"/>
    </row>
    <row r="303">
      <c r="G303" s="21"/>
      <c r="H303" s="21"/>
      <c r="AB303" s="20"/>
      <c r="AC303" s="20"/>
    </row>
    <row r="304">
      <c r="G304" s="21"/>
      <c r="H304" s="21"/>
      <c r="AB304" s="20"/>
      <c r="AC304" s="20"/>
    </row>
    <row r="305">
      <c r="G305" s="21"/>
      <c r="H305" s="21"/>
      <c r="AB305" s="20"/>
      <c r="AC305" s="20"/>
    </row>
    <row r="306">
      <c r="G306" s="21"/>
      <c r="H306" s="21"/>
      <c r="AB306" s="20"/>
      <c r="AC306" s="20"/>
    </row>
    <row r="307">
      <c r="G307" s="21"/>
      <c r="H307" s="21"/>
      <c r="AB307" s="20"/>
      <c r="AC307" s="20"/>
    </row>
    <row r="308">
      <c r="G308" s="21"/>
      <c r="H308" s="21"/>
      <c r="AB308" s="20"/>
      <c r="AC308" s="20"/>
    </row>
    <row r="309">
      <c r="G309" s="21"/>
      <c r="H309" s="21"/>
      <c r="AB309" s="20"/>
      <c r="AC309" s="20"/>
    </row>
    <row r="310">
      <c r="G310" s="21"/>
      <c r="H310" s="21"/>
      <c r="AB310" s="20"/>
      <c r="AC310" s="20"/>
    </row>
    <row r="311">
      <c r="G311" s="21"/>
      <c r="H311" s="21"/>
      <c r="AB311" s="20"/>
      <c r="AC311" s="20"/>
    </row>
    <row r="312">
      <c r="G312" s="21"/>
      <c r="H312" s="21"/>
      <c r="AB312" s="20"/>
      <c r="AC312" s="20"/>
    </row>
    <row r="313">
      <c r="G313" s="21"/>
      <c r="H313" s="21"/>
      <c r="AB313" s="20"/>
      <c r="AC313" s="20"/>
    </row>
    <row r="314">
      <c r="G314" s="21"/>
      <c r="H314" s="21"/>
      <c r="AB314" s="20"/>
      <c r="AC314" s="20"/>
    </row>
    <row r="315">
      <c r="G315" s="21"/>
      <c r="H315" s="21"/>
      <c r="AB315" s="20"/>
      <c r="AC315" s="20"/>
    </row>
    <row r="316">
      <c r="G316" s="21"/>
      <c r="H316" s="21"/>
      <c r="AB316" s="20"/>
      <c r="AC316" s="20"/>
    </row>
    <row r="317">
      <c r="G317" s="21"/>
      <c r="H317" s="21"/>
      <c r="AB317" s="20"/>
      <c r="AC317" s="20"/>
    </row>
    <row r="318">
      <c r="G318" s="21"/>
      <c r="H318" s="21"/>
      <c r="AB318" s="20"/>
      <c r="AC318" s="20"/>
    </row>
    <row r="319">
      <c r="G319" s="21"/>
      <c r="H319" s="21"/>
      <c r="AB319" s="20"/>
      <c r="AC319" s="20"/>
    </row>
    <row r="320">
      <c r="G320" s="21"/>
      <c r="H320" s="21"/>
      <c r="AB320" s="20"/>
      <c r="AC320" s="20"/>
    </row>
    <row r="321">
      <c r="G321" s="21"/>
      <c r="H321" s="21"/>
      <c r="AB321" s="20"/>
      <c r="AC321" s="20"/>
    </row>
    <row r="322">
      <c r="G322" s="21"/>
      <c r="H322" s="21"/>
      <c r="AB322" s="20"/>
      <c r="AC322" s="20"/>
    </row>
    <row r="323">
      <c r="G323" s="21"/>
      <c r="H323" s="21"/>
      <c r="AB323" s="20"/>
      <c r="AC323" s="20"/>
    </row>
    <row r="324">
      <c r="G324" s="21"/>
      <c r="H324" s="21"/>
      <c r="AB324" s="20"/>
      <c r="AC324" s="20"/>
    </row>
    <row r="325">
      <c r="G325" s="21"/>
      <c r="H325" s="21"/>
      <c r="AB325" s="20"/>
      <c r="AC325" s="20"/>
    </row>
    <row r="326">
      <c r="G326" s="21"/>
      <c r="H326" s="21"/>
      <c r="AB326" s="20"/>
      <c r="AC326" s="20"/>
    </row>
    <row r="327">
      <c r="G327" s="21"/>
      <c r="H327" s="21"/>
      <c r="AB327" s="20"/>
      <c r="AC327" s="20"/>
    </row>
    <row r="328">
      <c r="G328" s="21"/>
      <c r="H328" s="21"/>
      <c r="AB328" s="20"/>
      <c r="AC328" s="20"/>
    </row>
    <row r="329">
      <c r="G329" s="21"/>
      <c r="H329" s="21"/>
      <c r="AB329" s="20"/>
      <c r="AC329" s="20"/>
    </row>
    <row r="330">
      <c r="G330" s="21"/>
      <c r="H330" s="21"/>
      <c r="AB330" s="20"/>
      <c r="AC330" s="20"/>
    </row>
    <row r="331">
      <c r="G331" s="21"/>
      <c r="H331" s="21"/>
      <c r="AB331" s="20"/>
      <c r="AC331" s="20"/>
    </row>
    <row r="332">
      <c r="G332" s="21"/>
      <c r="H332" s="21"/>
      <c r="AB332" s="20"/>
      <c r="AC332" s="20"/>
    </row>
    <row r="333">
      <c r="G333" s="21"/>
      <c r="H333" s="21"/>
      <c r="AB333" s="20"/>
      <c r="AC333" s="20"/>
    </row>
    <row r="334">
      <c r="G334" s="21"/>
      <c r="H334" s="21"/>
      <c r="AB334" s="20"/>
      <c r="AC334" s="20"/>
    </row>
    <row r="335">
      <c r="G335" s="21"/>
      <c r="H335" s="21"/>
      <c r="AB335" s="20"/>
      <c r="AC335" s="20"/>
    </row>
    <row r="336">
      <c r="G336" s="21"/>
      <c r="H336" s="21"/>
      <c r="AB336" s="20"/>
      <c r="AC336" s="20"/>
    </row>
    <row r="337">
      <c r="G337" s="21"/>
      <c r="H337" s="21"/>
      <c r="AB337" s="20"/>
      <c r="AC337" s="20"/>
    </row>
    <row r="338">
      <c r="G338" s="21"/>
      <c r="H338" s="21"/>
      <c r="AB338" s="20"/>
      <c r="AC338" s="20"/>
    </row>
    <row r="339">
      <c r="G339" s="21"/>
      <c r="H339" s="21"/>
      <c r="AB339" s="20"/>
      <c r="AC339" s="20"/>
    </row>
    <row r="340">
      <c r="G340" s="21"/>
      <c r="H340" s="21"/>
      <c r="AB340" s="20"/>
      <c r="AC340" s="20"/>
    </row>
    <row r="341">
      <c r="G341" s="21"/>
      <c r="H341" s="21"/>
      <c r="AB341" s="20"/>
      <c r="AC341" s="20"/>
    </row>
    <row r="342">
      <c r="G342" s="21"/>
      <c r="H342" s="21"/>
      <c r="AB342" s="20"/>
      <c r="AC342" s="20"/>
    </row>
    <row r="343">
      <c r="G343" s="21"/>
      <c r="H343" s="21"/>
      <c r="AB343" s="20"/>
      <c r="AC343" s="20"/>
    </row>
    <row r="344">
      <c r="G344" s="21"/>
      <c r="H344" s="21"/>
      <c r="AB344" s="20"/>
      <c r="AC344" s="20"/>
    </row>
    <row r="345">
      <c r="G345" s="21"/>
      <c r="H345" s="21"/>
      <c r="AB345" s="20"/>
      <c r="AC345" s="20"/>
    </row>
    <row r="346">
      <c r="G346" s="21"/>
      <c r="H346" s="21"/>
      <c r="AB346" s="20"/>
      <c r="AC346" s="20"/>
    </row>
    <row r="347">
      <c r="G347" s="21"/>
      <c r="H347" s="21"/>
      <c r="AB347" s="20"/>
      <c r="AC347" s="20"/>
    </row>
    <row r="348">
      <c r="G348" s="21"/>
      <c r="H348" s="21"/>
      <c r="AB348" s="20"/>
      <c r="AC348" s="20"/>
    </row>
    <row r="349">
      <c r="G349" s="21"/>
      <c r="H349" s="21"/>
      <c r="AB349" s="20"/>
      <c r="AC349" s="20"/>
    </row>
    <row r="350">
      <c r="G350" s="21"/>
      <c r="H350" s="21"/>
      <c r="AB350" s="20"/>
      <c r="AC350" s="20"/>
    </row>
    <row r="351">
      <c r="G351" s="21"/>
      <c r="H351" s="21"/>
      <c r="AB351" s="20"/>
      <c r="AC351" s="20"/>
    </row>
    <row r="352">
      <c r="G352" s="21"/>
      <c r="H352" s="21"/>
      <c r="AB352" s="20"/>
      <c r="AC352" s="20"/>
    </row>
    <row r="353">
      <c r="G353" s="21"/>
      <c r="H353" s="21"/>
      <c r="AB353" s="20"/>
      <c r="AC353" s="20"/>
    </row>
    <row r="354">
      <c r="G354" s="21"/>
      <c r="H354" s="21"/>
      <c r="AB354" s="20"/>
      <c r="AC354" s="20"/>
    </row>
    <row r="355">
      <c r="G355" s="21"/>
      <c r="H355" s="21"/>
      <c r="AB355" s="20"/>
      <c r="AC355" s="20"/>
    </row>
    <row r="356">
      <c r="G356" s="21"/>
      <c r="H356" s="21"/>
      <c r="AB356" s="20"/>
      <c r="AC356" s="20"/>
    </row>
    <row r="357">
      <c r="G357" s="21"/>
      <c r="H357" s="21"/>
      <c r="AB357" s="20"/>
      <c r="AC357" s="20"/>
    </row>
    <row r="358">
      <c r="G358" s="21"/>
      <c r="H358" s="21"/>
      <c r="AB358" s="20"/>
      <c r="AC358" s="20"/>
    </row>
    <row r="359">
      <c r="G359" s="21"/>
      <c r="H359" s="21"/>
      <c r="AB359" s="20"/>
      <c r="AC359" s="20"/>
    </row>
    <row r="360">
      <c r="G360" s="21"/>
      <c r="H360" s="21"/>
      <c r="AB360" s="20"/>
      <c r="AC360" s="20"/>
    </row>
    <row r="361">
      <c r="G361" s="21"/>
      <c r="H361" s="21"/>
      <c r="AB361" s="20"/>
      <c r="AC361" s="20"/>
    </row>
    <row r="362">
      <c r="G362" s="21"/>
      <c r="H362" s="21"/>
      <c r="AB362" s="20"/>
      <c r="AC362" s="20"/>
    </row>
    <row r="363">
      <c r="G363" s="21"/>
      <c r="H363" s="21"/>
      <c r="AB363" s="20"/>
      <c r="AC363" s="20"/>
    </row>
    <row r="364">
      <c r="G364" s="21"/>
      <c r="H364" s="21"/>
      <c r="AB364" s="20"/>
      <c r="AC364" s="20"/>
    </row>
    <row r="365">
      <c r="G365" s="21"/>
      <c r="H365" s="21"/>
      <c r="AB365" s="20"/>
      <c r="AC365" s="20"/>
    </row>
    <row r="366">
      <c r="G366" s="21"/>
      <c r="H366" s="21"/>
      <c r="AB366" s="20"/>
      <c r="AC366" s="20"/>
    </row>
    <row r="367">
      <c r="G367" s="21"/>
      <c r="H367" s="21"/>
      <c r="AB367" s="20"/>
      <c r="AC367" s="20"/>
    </row>
    <row r="368">
      <c r="G368" s="21"/>
      <c r="H368" s="21"/>
      <c r="AB368" s="20"/>
      <c r="AC368" s="20"/>
    </row>
    <row r="369">
      <c r="G369" s="21"/>
      <c r="H369" s="21"/>
      <c r="AB369" s="20"/>
      <c r="AC369" s="20"/>
    </row>
    <row r="370">
      <c r="G370" s="21"/>
      <c r="H370" s="21"/>
      <c r="AB370" s="20"/>
      <c r="AC370" s="20"/>
    </row>
    <row r="371">
      <c r="G371" s="21"/>
      <c r="H371" s="21"/>
      <c r="AB371" s="20"/>
      <c r="AC371" s="20"/>
    </row>
    <row r="372">
      <c r="G372" s="21"/>
      <c r="H372" s="21"/>
      <c r="AB372" s="20"/>
      <c r="AC372" s="20"/>
    </row>
    <row r="373">
      <c r="G373" s="21"/>
      <c r="H373" s="21"/>
      <c r="AB373" s="20"/>
      <c r="AC373" s="20"/>
    </row>
    <row r="374">
      <c r="G374" s="21"/>
      <c r="H374" s="21"/>
      <c r="AB374" s="20"/>
      <c r="AC374" s="20"/>
    </row>
    <row r="375">
      <c r="G375" s="21"/>
      <c r="H375" s="21"/>
      <c r="AB375" s="20"/>
      <c r="AC375" s="20"/>
    </row>
    <row r="376">
      <c r="G376" s="21"/>
      <c r="H376" s="21"/>
      <c r="AB376" s="20"/>
      <c r="AC376" s="20"/>
    </row>
    <row r="377">
      <c r="G377" s="21"/>
      <c r="H377" s="21"/>
      <c r="AB377" s="20"/>
      <c r="AC377" s="20"/>
    </row>
    <row r="378">
      <c r="G378" s="21"/>
      <c r="H378" s="21"/>
      <c r="AB378" s="20"/>
      <c r="AC378" s="20"/>
    </row>
    <row r="379">
      <c r="G379" s="21"/>
      <c r="H379" s="21"/>
      <c r="AB379" s="20"/>
      <c r="AC379" s="20"/>
    </row>
    <row r="380">
      <c r="G380" s="21"/>
      <c r="H380" s="21"/>
      <c r="AB380" s="20"/>
      <c r="AC380" s="20"/>
    </row>
    <row r="381">
      <c r="G381" s="21"/>
      <c r="H381" s="21"/>
      <c r="AB381" s="20"/>
      <c r="AC381" s="20"/>
    </row>
    <row r="382">
      <c r="G382" s="21"/>
      <c r="H382" s="21"/>
      <c r="AB382" s="20"/>
      <c r="AC382" s="20"/>
    </row>
    <row r="383">
      <c r="G383" s="21"/>
      <c r="H383" s="21"/>
      <c r="AB383" s="20"/>
      <c r="AC383" s="20"/>
    </row>
    <row r="384">
      <c r="G384" s="21"/>
      <c r="H384" s="21"/>
      <c r="AB384" s="20"/>
      <c r="AC384" s="20"/>
    </row>
    <row r="385">
      <c r="G385" s="21"/>
      <c r="H385" s="21"/>
      <c r="AB385" s="20"/>
      <c r="AC385" s="20"/>
    </row>
    <row r="386">
      <c r="G386" s="21"/>
      <c r="H386" s="21"/>
      <c r="AB386" s="20"/>
      <c r="AC386" s="20"/>
    </row>
    <row r="387">
      <c r="G387" s="21"/>
      <c r="H387" s="21"/>
      <c r="AB387" s="20"/>
      <c r="AC387" s="20"/>
    </row>
    <row r="388">
      <c r="G388" s="21"/>
      <c r="H388" s="21"/>
      <c r="AB388" s="20"/>
      <c r="AC388" s="20"/>
    </row>
    <row r="389">
      <c r="G389" s="21"/>
      <c r="H389" s="21"/>
      <c r="AB389" s="20"/>
      <c r="AC389" s="20"/>
    </row>
    <row r="390">
      <c r="G390" s="21"/>
      <c r="H390" s="21"/>
      <c r="AB390" s="20"/>
      <c r="AC390" s="20"/>
    </row>
    <row r="391">
      <c r="G391" s="21"/>
      <c r="H391" s="21"/>
      <c r="AB391" s="20"/>
      <c r="AC391" s="20"/>
    </row>
    <row r="392">
      <c r="G392" s="21"/>
      <c r="H392" s="21"/>
      <c r="AB392" s="20"/>
      <c r="AC392" s="20"/>
    </row>
    <row r="393">
      <c r="G393" s="21"/>
      <c r="H393" s="21"/>
      <c r="AB393" s="20"/>
      <c r="AC393" s="20"/>
    </row>
    <row r="394">
      <c r="G394" s="21"/>
      <c r="H394" s="21"/>
      <c r="AB394" s="20"/>
      <c r="AC394" s="20"/>
    </row>
    <row r="395">
      <c r="G395" s="21"/>
      <c r="H395" s="21"/>
      <c r="AB395" s="20"/>
      <c r="AC395" s="20"/>
    </row>
    <row r="396">
      <c r="G396" s="21"/>
      <c r="H396" s="21"/>
      <c r="AB396" s="20"/>
      <c r="AC396" s="20"/>
    </row>
    <row r="397">
      <c r="G397" s="21"/>
      <c r="H397" s="21"/>
      <c r="AB397" s="20"/>
      <c r="AC397" s="20"/>
    </row>
    <row r="398">
      <c r="G398" s="21"/>
      <c r="H398" s="21"/>
      <c r="AB398" s="20"/>
      <c r="AC398" s="20"/>
    </row>
    <row r="399">
      <c r="G399" s="21"/>
      <c r="H399" s="21"/>
      <c r="AB399" s="20"/>
      <c r="AC399" s="20"/>
    </row>
    <row r="400">
      <c r="G400" s="21"/>
      <c r="H400" s="21"/>
      <c r="AB400" s="20"/>
      <c r="AC400" s="20"/>
    </row>
    <row r="401">
      <c r="G401" s="21"/>
      <c r="H401" s="21"/>
      <c r="AB401" s="20"/>
      <c r="AC401" s="20"/>
    </row>
    <row r="402">
      <c r="G402" s="21"/>
      <c r="H402" s="21"/>
      <c r="AB402" s="20"/>
      <c r="AC402" s="20"/>
    </row>
    <row r="403">
      <c r="G403" s="21"/>
      <c r="H403" s="21"/>
      <c r="AB403" s="20"/>
      <c r="AC403" s="20"/>
    </row>
    <row r="404">
      <c r="G404" s="21"/>
      <c r="H404" s="21"/>
      <c r="AB404" s="20"/>
      <c r="AC404" s="20"/>
    </row>
    <row r="405">
      <c r="G405" s="21"/>
      <c r="H405" s="21"/>
      <c r="AB405" s="20"/>
      <c r="AC405" s="20"/>
    </row>
    <row r="406">
      <c r="G406" s="21"/>
      <c r="H406" s="21"/>
      <c r="AB406" s="20"/>
      <c r="AC406" s="20"/>
    </row>
    <row r="407">
      <c r="G407" s="21"/>
      <c r="H407" s="21"/>
      <c r="AB407" s="20"/>
      <c r="AC407" s="20"/>
    </row>
    <row r="408">
      <c r="G408" s="21"/>
      <c r="H408" s="21"/>
      <c r="AB408" s="20"/>
      <c r="AC408" s="20"/>
    </row>
    <row r="409">
      <c r="G409" s="21"/>
      <c r="H409" s="21"/>
      <c r="AB409" s="20"/>
      <c r="AC409" s="20"/>
    </row>
    <row r="410">
      <c r="G410" s="21"/>
      <c r="H410" s="21"/>
      <c r="AB410" s="20"/>
      <c r="AC410" s="20"/>
    </row>
    <row r="411">
      <c r="G411" s="21"/>
      <c r="H411" s="21"/>
      <c r="AB411" s="20"/>
      <c r="AC411" s="20"/>
    </row>
    <row r="412">
      <c r="G412" s="21"/>
      <c r="H412" s="21"/>
      <c r="AB412" s="20"/>
      <c r="AC412" s="20"/>
    </row>
    <row r="413">
      <c r="G413" s="21"/>
      <c r="H413" s="21"/>
      <c r="AB413" s="20"/>
      <c r="AC413" s="20"/>
    </row>
    <row r="414">
      <c r="G414" s="21"/>
      <c r="H414" s="21"/>
      <c r="AB414" s="20"/>
      <c r="AC414" s="20"/>
    </row>
    <row r="415">
      <c r="G415" s="21"/>
      <c r="H415" s="21"/>
      <c r="AB415" s="20"/>
      <c r="AC415" s="20"/>
    </row>
    <row r="416">
      <c r="G416" s="21"/>
      <c r="H416" s="21"/>
      <c r="AB416" s="20"/>
      <c r="AC416" s="20"/>
    </row>
    <row r="417">
      <c r="G417" s="21"/>
      <c r="H417" s="21"/>
      <c r="AB417" s="20"/>
      <c r="AC417" s="20"/>
    </row>
    <row r="418">
      <c r="G418" s="21"/>
      <c r="H418" s="21"/>
      <c r="AB418" s="20"/>
      <c r="AC418" s="20"/>
    </row>
    <row r="419">
      <c r="G419" s="21"/>
      <c r="H419" s="21"/>
      <c r="AB419" s="20"/>
      <c r="AC419" s="20"/>
    </row>
    <row r="420">
      <c r="G420" s="21"/>
      <c r="H420" s="21"/>
      <c r="AB420" s="20"/>
      <c r="AC420" s="20"/>
    </row>
    <row r="421">
      <c r="G421" s="21"/>
      <c r="H421" s="21"/>
      <c r="AB421" s="20"/>
      <c r="AC421" s="20"/>
    </row>
    <row r="422">
      <c r="G422" s="21"/>
      <c r="H422" s="21"/>
      <c r="AB422" s="20"/>
      <c r="AC422" s="20"/>
    </row>
    <row r="423">
      <c r="G423" s="21"/>
      <c r="H423" s="21"/>
      <c r="AB423" s="20"/>
      <c r="AC423" s="20"/>
    </row>
    <row r="424">
      <c r="G424" s="21"/>
      <c r="H424" s="21"/>
      <c r="AB424" s="20"/>
      <c r="AC424" s="20"/>
    </row>
    <row r="425">
      <c r="G425" s="21"/>
      <c r="H425" s="21"/>
      <c r="AB425" s="20"/>
      <c r="AC425" s="20"/>
    </row>
    <row r="426">
      <c r="G426" s="21"/>
      <c r="H426" s="21"/>
      <c r="AB426" s="20"/>
      <c r="AC426" s="20"/>
    </row>
    <row r="427">
      <c r="G427" s="21"/>
      <c r="H427" s="21"/>
      <c r="AB427" s="20"/>
      <c r="AC427" s="20"/>
    </row>
    <row r="428">
      <c r="G428" s="21"/>
      <c r="H428" s="21"/>
      <c r="AB428" s="20"/>
      <c r="AC428" s="20"/>
    </row>
    <row r="429">
      <c r="G429" s="21"/>
      <c r="H429" s="21"/>
      <c r="AB429" s="20"/>
      <c r="AC429" s="20"/>
    </row>
    <row r="430">
      <c r="G430" s="21"/>
      <c r="H430" s="21"/>
      <c r="AB430" s="20"/>
      <c r="AC430" s="20"/>
    </row>
    <row r="431">
      <c r="G431" s="21"/>
      <c r="H431" s="21"/>
      <c r="AB431" s="20"/>
      <c r="AC431" s="20"/>
    </row>
    <row r="432">
      <c r="G432" s="21"/>
      <c r="H432" s="21"/>
      <c r="AB432" s="20"/>
      <c r="AC432" s="20"/>
    </row>
    <row r="433">
      <c r="G433" s="21"/>
      <c r="H433" s="21"/>
      <c r="AB433" s="20"/>
      <c r="AC433" s="20"/>
    </row>
    <row r="434">
      <c r="G434" s="21"/>
      <c r="H434" s="21"/>
      <c r="AB434" s="20"/>
      <c r="AC434" s="20"/>
    </row>
    <row r="435">
      <c r="G435" s="21"/>
      <c r="H435" s="21"/>
      <c r="AB435" s="20"/>
      <c r="AC435" s="20"/>
    </row>
    <row r="436">
      <c r="G436" s="21"/>
      <c r="H436" s="21"/>
      <c r="AB436" s="20"/>
      <c r="AC436" s="20"/>
    </row>
    <row r="437">
      <c r="G437" s="21"/>
      <c r="H437" s="21"/>
      <c r="AB437" s="20"/>
      <c r="AC437" s="20"/>
    </row>
    <row r="438">
      <c r="G438" s="21"/>
      <c r="H438" s="21"/>
      <c r="AB438" s="20"/>
      <c r="AC438" s="20"/>
    </row>
    <row r="439">
      <c r="G439" s="21"/>
      <c r="H439" s="21"/>
      <c r="AB439" s="20"/>
      <c r="AC439" s="20"/>
    </row>
    <row r="440">
      <c r="G440" s="21"/>
      <c r="H440" s="21"/>
      <c r="AB440" s="20"/>
      <c r="AC440" s="20"/>
    </row>
    <row r="441">
      <c r="G441" s="21"/>
      <c r="H441" s="21"/>
      <c r="AB441" s="20"/>
      <c r="AC441" s="20"/>
    </row>
    <row r="442">
      <c r="G442" s="21"/>
      <c r="H442" s="21"/>
      <c r="AB442" s="20"/>
      <c r="AC442" s="20"/>
    </row>
    <row r="443">
      <c r="G443" s="21"/>
      <c r="H443" s="21"/>
      <c r="AB443" s="20"/>
      <c r="AC443" s="20"/>
    </row>
    <row r="444">
      <c r="G444" s="21"/>
      <c r="H444" s="21"/>
      <c r="AB444" s="20"/>
      <c r="AC444" s="20"/>
    </row>
    <row r="445">
      <c r="G445" s="21"/>
      <c r="H445" s="21"/>
      <c r="AB445" s="20"/>
      <c r="AC445" s="20"/>
    </row>
    <row r="446">
      <c r="G446" s="21"/>
      <c r="H446" s="21"/>
      <c r="AB446" s="20"/>
      <c r="AC446" s="20"/>
    </row>
    <row r="447">
      <c r="G447" s="21"/>
      <c r="H447" s="21"/>
      <c r="AB447" s="20"/>
      <c r="AC447" s="20"/>
    </row>
    <row r="448">
      <c r="G448" s="21"/>
      <c r="H448" s="21"/>
      <c r="AB448" s="20"/>
      <c r="AC448" s="20"/>
    </row>
    <row r="449">
      <c r="G449" s="21"/>
      <c r="H449" s="21"/>
      <c r="AB449" s="20"/>
      <c r="AC449" s="20"/>
    </row>
    <row r="450">
      <c r="G450" s="21"/>
      <c r="H450" s="21"/>
      <c r="AB450" s="20"/>
      <c r="AC450" s="20"/>
    </row>
    <row r="451">
      <c r="G451" s="21"/>
      <c r="H451" s="21"/>
      <c r="AB451" s="20"/>
      <c r="AC451" s="20"/>
    </row>
    <row r="452">
      <c r="G452" s="21"/>
      <c r="H452" s="21"/>
      <c r="AB452" s="20"/>
      <c r="AC452" s="20"/>
    </row>
    <row r="453">
      <c r="G453" s="21"/>
      <c r="H453" s="21"/>
      <c r="AB453" s="20"/>
      <c r="AC453" s="20"/>
    </row>
    <row r="454">
      <c r="G454" s="21"/>
      <c r="H454" s="21"/>
      <c r="AB454" s="20"/>
      <c r="AC454" s="20"/>
    </row>
    <row r="455">
      <c r="G455" s="21"/>
      <c r="H455" s="21"/>
      <c r="AB455" s="20"/>
      <c r="AC455" s="20"/>
    </row>
    <row r="456">
      <c r="G456" s="21"/>
      <c r="H456" s="21"/>
      <c r="AB456" s="20"/>
      <c r="AC456" s="20"/>
    </row>
    <row r="457">
      <c r="G457" s="21"/>
      <c r="H457" s="21"/>
      <c r="AB457" s="20"/>
      <c r="AC457" s="20"/>
    </row>
    <row r="458">
      <c r="G458" s="21"/>
      <c r="H458" s="21"/>
      <c r="AB458" s="20"/>
      <c r="AC458" s="20"/>
    </row>
    <row r="459">
      <c r="G459" s="21"/>
      <c r="H459" s="21"/>
      <c r="AB459" s="20"/>
      <c r="AC459" s="20"/>
    </row>
    <row r="460">
      <c r="G460" s="21"/>
      <c r="H460" s="21"/>
      <c r="AB460" s="20"/>
      <c r="AC460" s="20"/>
    </row>
    <row r="461">
      <c r="G461" s="21"/>
      <c r="H461" s="21"/>
      <c r="AB461" s="20"/>
      <c r="AC461" s="20"/>
    </row>
    <row r="462">
      <c r="G462" s="21"/>
      <c r="H462" s="21"/>
      <c r="AB462" s="20"/>
      <c r="AC462" s="20"/>
    </row>
    <row r="463">
      <c r="G463" s="21"/>
      <c r="H463" s="21"/>
      <c r="AB463" s="20"/>
      <c r="AC463" s="20"/>
    </row>
    <row r="464">
      <c r="G464" s="21"/>
      <c r="H464" s="21"/>
      <c r="AB464" s="20"/>
      <c r="AC464" s="20"/>
    </row>
    <row r="465">
      <c r="G465" s="21"/>
      <c r="H465" s="21"/>
      <c r="AB465" s="20"/>
      <c r="AC465" s="20"/>
    </row>
    <row r="466">
      <c r="G466" s="21"/>
      <c r="H466" s="21"/>
      <c r="AB466" s="20"/>
      <c r="AC466" s="20"/>
    </row>
    <row r="467">
      <c r="G467" s="21"/>
      <c r="H467" s="21"/>
      <c r="AB467" s="20"/>
      <c r="AC467" s="20"/>
    </row>
    <row r="468">
      <c r="G468" s="21"/>
      <c r="H468" s="21"/>
      <c r="AB468" s="20"/>
      <c r="AC468" s="20"/>
    </row>
    <row r="469">
      <c r="G469" s="21"/>
      <c r="H469" s="21"/>
      <c r="AB469" s="20"/>
      <c r="AC469" s="20"/>
    </row>
    <row r="470">
      <c r="G470" s="21"/>
      <c r="H470" s="21"/>
      <c r="AB470" s="20"/>
      <c r="AC470" s="20"/>
    </row>
    <row r="471">
      <c r="G471" s="21"/>
      <c r="H471" s="21"/>
      <c r="AB471" s="20"/>
      <c r="AC471" s="20"/>
    </row>
    <row r="472">
      <c r="G472" s="21"/>
      <c r="H472" s="21"/>
      <c r="AB472" s="20"/>
      <c r="AC472" s="20"/>
    </row>
    <row r="473">
      <c r="G473" s="21"/>
      <c r="H473" s="21"/>
      <c r="AB473" s="20"/>
      <c r="AC473" s="20"/>
    </row>
    <row r="474">
      <c r="G474" s="21"/>
      <c r="H474" s="21"/>
      <c r="AB474" s="20"/>
      <c r="AC474" s="20"/>
    </row>
    <row r="475">
      <c r="G475" s="21"/>
      <c r="H475" s="21"/>
      <c r="AB475" s="20"/>
      <c r="AC475" s="20"/>
    </row>
    <row r="476">
      <c r="G476" s="21"/>
      <c r="H476" s="21"/>
      <c r="AB476" s="20"/>
      <c r="AC476" s="20"/>
    </row>
    <row r="477">
      <c r="G477" s="21"/>
      <c r="H477" s="21"/>
      <c r="AB477" s="20"/>
      <c r="AC477" s="20"/>
    </row>
    <row r="478">
      <c r="G478" s="21"/>
      <c r="H478" s="21"/>
      <c r="AB478" s="20"/>
      <c r="AC478" s="20"/>
    </row>
    <row r="479">
      <c r="G479" s="21"/>
      <c r="H479" s="21"/>
      <c r="AB479" s="20"/>
      <c r="AC479" s="20"/>
    </row>
    <row r="480">
      <c r="G480" s="21"/>
      <c r="H480" s="21"/>
      <c r="AB480" s="20"/>
      <c r="AC480" s="20"/>
    </row>
    <row r="481">
      <c r="G481" s="21"/>
      <c r="H481" s="21"/>
      <c r="AB481" s="20"/>
      <c r="AC481" s="20"/>
    </row>
    <row r="482">
      <c r="G482" s="21"/>
      <c r="H482" s="21"/>
      <c r="AB482" s="20"/>
      <c r="AC482" s="20"/>
    </row>
    <row r="483">
      <c r="G483" s="21"/>
      <c r="H483" s="21"/>
      <c r="AB483" s="20"/>
      <c r="AC483" s="20"/>
    </row>
    <row r="484">
      <c r="G484" s="21"/>
      <c r="H484" s="21"/>
      <c r="AB484" s="20"/>
      <c r="AC484" s="20"/>
    </row>
    <row r="485">
      <c r="G485" s="21"/>
      <c r="H485" s="21"/>
      <c r="AB485" s="20"/>
      <c r="AC485" s="20"/>
    </row>
    <row r="486">
      <c r="G486" s="21"/>
      <c r="H486" s="21"/>
      <c r="AB486" s="20"/>
      <c r="AC486" s="20"/>
    </row>
    <row r="487">
      <c r="G487" s="21"/>
      <c r="H487" s="21"/>
      <c r="AB487" s="20"/>
      <c r="AC487" s="20"/>
    </row>
    <row r="488">
      <c r="G488" s="21"/>
      <c r="H488" s="21"/>
      <c r="AB488" s="20"/>
      <c r="AC488" s="20"/>
    </row>
    <row r="489">
      <c r="G489" s="21"/>
      <c r="H489" s="21"/>
      <c r="AB489" s="20"/>
      <c r="AC489" s="20"/>
    </row>
    <row r="490">
      <c r="G490" s="21"/>
      <c r="H490" s="21"/>
      <c r="AB490" s="20"/>
      <c r="AC490" s="20"/>
    </row>
    <row r="491">
      <c r="G491" s="21"/>
      <c r="H491" s="21"/>
      <c r="AB491" s="20"/>
      <c r="AC491" s="20"/>
    </row>
    <row r="492">
      <c r="G492" s="21"/>
      <c r="H492" s="21"/>
      <c r="AB492" s="20"/>
      <c r="AC492" s="20"/>
    </row>
    <row r="493">
      <c r="G493" s="21"/>
      <c r="H493" s="21"/>
      <c r="AB493" s="20"/>
      <c r="AC493" s="20"/>
    </row>
    <row r="494">
      <c r="G494" s="21"/>
      <c r="H494" s="21"/>
      <c r="AB494" s="20"/>
      <c r="AC494" s="20"/>
    </row>
    <row r="495">
      <c r="G495" s="21"/>
      <c r="H495" s="21"/>
      <c r="AB495" s="20"/>
      <c r="AC495" s="20"/>
    </row>
    <row r="496">
      <c r="G496" s="21"/>
      <c r="H496" s="21"/>
      <c r="AB496" s="20"/>
      <c r="AC496" s="20"/>
    </row>
    <row r="497">
      <c r="G497" s="21"/>
      <c r="H497" s="21"/>
      <c r="AB497" s="20"/>
      <c r="AC497" s="20"/>
    </row>
    <row r="498">
      <c r="G498" s="21"/>
      <c r="H498" s="21"/>
      <c r="AB498" s="20"/>
      <c r="AC498" s="20"/>
    </row>
    <row r="499">
      <c r="G499" s="21"/>
      <c r="H499" s="21"/>
      <c r="AB499" s="20"/>
      <c r="AC499" s="20"/>
    </row>
    <row r="500">
      <c r="G500" s="21"/>
      <c r="H500" s="21"/>
      <c r="AB500" s="20"/>
      <c r="AC500" s="20"/>
    </row>
    <row r="501">
      <c r="G501" s="21"/>
      <c r="H501" s="21"/>
      <c r="AB501" s="20"/>
      <c r="AC501" s="20"/>
    </row>
    <row r="502">
      <c r="G502" s="21"/>
      <c r="H502" s="21"/>
      <c r="AB502" s="20"/>
      <c r="AC502" s="20"/>
    </row>
    <row r="503">
      <c r="G503" s="21"/>
      <c r="H503" s="21"/>
      <c r="AB503" s="20"/>
      <c r="AC503" s="20"/>
    </row>
    <row r="504">
      <c r="G504" s="21"/>
      <c r="H504" s="21"/>
      <c r="AB504" s="20"/>
      <c r="AC504" s="20"/>
    </row>
    <row r="505">
      <c r="G505" s="21"/>
      <c r="H505" s="21"/>
      <c r="AB505" s="20"/>
      <c r="AC505" s="20"/>
    </row>
    <row r="506">
      <c r="G506" s="21"/>
      <c r="H506" s="21"/>
      <c r="AB506" s="20"/>
      <c r="AC506" s="20"/>
    </row>
    <row r="507">
      <c r="G507" s="21"/>
      <c r="H507" s="21"/>
      <c r="AB507" s="20"/>
      <c r="AC507" s="20"/>
    </row>
    <row r="508">
      <c r="G508" s="21"/>
      <c r="H508" s="21"/>
      <c r="AB508" s="20"/>
      <c r="AC508" s="20"/>
    </row>
    <row r="509">
      <c r="G509" s="21"/>
      <c r="H509" s="21"/>
      <c r="AB509" s="20"/>
      <c r="AC509" s="20"/>
    </row>
    <row r="510">
      <c r="G510" s="21"/>
      <c r="H510" s="21"/>
      <c r="AB510" s="20"/>
      <c r="AC510" s="20"/>
    </row>
    <row r="511">
      <c r="G511" s="21"/>
      <c r="H511" s="21"/>
      <c r="AB511" s="20"/>
      <c r="AC511" s="20"/>
    </row>
    <row r="512">
      <c r="G512" s="21"/>
      <c r="H512" s="21"/>
      <c r="AB512" s="20"/>
      <c r="AC512" s="20"/>
    </row>
    <row r="513">
      <c r="G513" s="21"/>
      <c r="H513" s="21"/>
      <c r="AB513" s="20"/>
      <c r="AC513" s="20"/>
    </row>
    <row r="514">
      <c r="G514" s="21"/>
      <c r="H514" s="21"/>
      <c r="AB514" s="20"/>
      <c r="AC514" s="20"/>
    </row>
    <row r="515">
      <c r="G515" s="21"/>
      <c r="H515" s="21"/>
      <c r="AB515" s="20"/>
      <c r="AC515" s="20"/>
    </row>
    <row r="516">
      <c r="G516" s="21"/>
      <c r="H516" s="21"/>
      <c r="AB516" s="20"/>
      <c r="AC516" s="20"/>
    </row>
    <row r="517">
      <c r="G517" s="21"/>
      <c r="H517" s="21"/>
      <c r="AB517" s="20"/>
      <c r="AC517" s="20"/>
    </row>
    <row r="518">
      <c r="G518" s="21"/>
      <c r="H518" s="21"/>
      <c r="AB518" s="20"/>
      <c r="AC518" s="20"/>
    </row>
    <row r="519">
      <c r="G519" s="21"/>
      <c r="H519" s="21"/>
      <c r="AB519" s="20"/>
      <c r="AC519" s="20"/>
    </row>
    <row r="520">
      <c r="G520" s="21"/>
      <c r="H520" s="21"/>
      <c r="AB520" s="20"/>
      <c r="AC520" s="20"/>
    </row>
    <row r="521">
      <c r="G521" s="21"/>
      <c r="H521" s="21"/>
      <c r="AB521" s="20"/>
      <c r="AC521" s="20"/>
    </row>
    <row r="522">
      <c r="G522" s="21"/>
      <c r="H522" s="21"/>
      <c r="AB522" s="20"/>
      <c r="AC522" s="20"/>
    </row>
    <row r="523">
      <c r="G523" s="21"/>
      <c r="H523" s="21"/>
      <c r="AB523" s="20"/>
      <c r="AC523" s="20"/>
    </row>
    <row r="524">
      <c r="G524" s="21"/>
      <c r="H524" s="21"/>
      <c r="AB524" s="20"/>
      <c r="AC524" s="20"/>
    </row>
    <row r="525">
      <c r="G525" s="21"/>
      <c r="H525" s="21"/>
      <c r="AB525" s="20"/>
      <c r="AC525" s="20"/>
    </row>
    <row r="526">
      <c r="G526" s="21"/>
      <c r="H526" s="21"/>
      <c r="AB526" s="20"/>
      <c r="AC526" s="20"/>
    </row>
    <row r="527">
      <c r="G527" s="21"/>
      <c r="H527" s="21"/>
      <c r="AB527" s="20"/>
      <c r="AC527" s="20"/>
    </row>
    <row r="528">
      <c r="G528" s="21"/>
      <c r="H528" s="21"/>
      <c r="AB528" s="20"/>
      <c r="AC528" s="20"/>
    </row>
    <row r="529">
      <c r="G529" s="21"/>
      <c r="H529" s="21"/>
      <c r="AB529" s="20"/>
      <c r="AC529" s="20"/>
    </row>
    <row r="530">
      <c r="G530" s="21"/>
      <c r="H530" s="21"/>
      <c r="AB530" s="20"/>
      <c r="AC530" s="20"/>
    </row>
    <row r="531">
      <c r="G531" s="21"/>
      <c r="H531" s="21"/>
      <c r="AB531" s="20"/>
      <c r="AC531" s="20"/>
    </row>
    <row r="532">
      <c r="G532" s="21"/>
      <c r="H532" s="21"/>
      <c r="AB532" s="20"/>
      <c r="AC532" s="20"/>
    </row>
    <row r="533">
      <c r="G533" s="21"/>
      <c r="H533" s="21"/>
      <c r="AB533" s="20"/>
      <c r="AC533" s="20"/>
    </row>
    <row r="534">
      <c r="G534" s="21"/>
      <c r="H534" s="21"/>
      <c r="AB534" s="20"/>
      <c r="AC534" s="20"/>
    </row>
    <row r="535">
      <c r="G535" s="21"/>
      <c r="H535" s="21"/>
      <c r="AB535" s="20"/>
      <c r="AC535" s="20"/>
    </row>
    <row r="536">
      <c r="G536" s="21"/>
      <c r="H536" s="21"/>
      <c r="AB536" s="20"/>
      <c r="AC536" s="20"/>
    </row>
    <row r="537">
      <c r="G537" s="21"/>
      <c r="H537" s="21"/>
      <c r="AB537" s="20"/>
      <c r="AC537" s="20"/>
    </row>
    <row r="538">
      <c r="G538" s="21"/>
      <c r="H538" s="21"/>
      <c r="AB538" s="20"/>
      <c r="AC538" s="20"/>
    </row>
    <row r="539">
      <c r="G539" s="21"/>
      <c r="H539" s="21"/>
      <c r="AB539" s="20"/>
      <c r="AC539" s="20"/>
    </row>
    <row r="540">
      <c r="G540" s="21"/>
      <c r="H540" s="21"/>
      <c r="AB540" s="20"/>
      <c r="AC540" s="20"/>
    </row>
    <row r="541">
      <c r="G541" s="21"/>
      <c r="H541" s="21"/>
      <c r="AB541" s="20"/>
      <c r="AC541" s="20"/>
    </row>
    <row r="542">
      <c r="G542" s="21"/>
      <c r="H542" s="21"/>
      <c r="AB542" s="20"/>
      <c r="AC542" s="20"/>
    </row>
    <row r="543">
      <c r="G543" s="21"/>
      <c r="H543" s="21"/>
      <c r="AB543" s="20"/>
      <c r="AC543" s="20"/>
    </row>
    <row r="544">
      <c r="G544" s="21"/>
      <c r="H544" s="21"/>
      <c r="AB544" s="20"/>
      <c r="AC544" s="20"/>
    </row>
    <row r="545">
      <c r="G545" s="21"/>
      <c r="H545" s="21"/>
      <c r="AB545" s="20"/>
      <c r="AC545" s="20"/>
    </row>
    <row r="546">
      <c r="G546" s="21"/>
      <c r="H546" s="21"/>
      <c r="AB546" s="20"/>
      <c r="AC546" s="20"/>
    </row>
    <row r="547">
      <c r="G547" s="21"/>
      <c r="H547" s="21"/>
      <c r="AB547" s="20"/>
      <c r="AC547" s="20"/>
    </row>
    <row r="548">
      <c r="G548" s="21"/>
      <c r="H548" s="21"/>
      <c r="AB548" s="20"/>
      <c r="AC548" s="20"/>
    </row>
    <row r="549">
      <c r="G549" s="21"/>
      <c r="H549" s="21"/>
      <c r="AB549" s="20"/>
      <c r="AC549" s="20"/>
    </row>
    <row r="550">
      <c r="G550" s="21"/>
      <c r="H550" s="21"/>
      <c r="AB550" s="20"/>
      <c r="AC550" s="20"/>
    </row>
    <row r="551">
      <c r="G551" s="21"/>
      <c r="H551" s="21"/>
      <c r="AB551" s="20"/>
      <c r="AC551" s="20"/>
    </row>
    <row r="552">
      <c r="G552" s="21"/>
      <c r="H552" s="21"/>
      <c r="AB552" s="20"/>
      <c r="AC552" s="20"/>
    </row>
    <row r="553">
      <c r="G553" s="21"/>
      <c r="H553" s="21"/>
      <c r="AB553" s="20"/>
      <c r="AC553" s="20"/>
    </row>
    <row r="554">
      <c r="G554" s="21"/>
      <c r="H554" s="21"/>
      <c r="AB554" s="20"/>
      <c r="AC554" s="20"/>
    </row>
    <row r="555">
      <c r="G555" s="21"/>
      <c r="H555" s="21"/>
      <c r="AB555" s="20"/>
      <c r="AC555" s="20"/>
    </row>
    <row r="556">
      <c r="G556" s="21"/>
      <c r="H556" s="21"/>
      <c r="AB556" s="20"/>
      <c r="AC556" s="20"/>
    </row>
    <row r="557">
      <c r="G557" s="21"/>
      <c r="H557" s="21"/>
      <c r="AB557" s="20"/>
      <c r="AC557" s="20"/>
    </row>
    <row r="558">
      <c r="G558" s="21"/>
      <c r="H558" s="21"/>
      <c r="AB558" s="20"/>
      <c r="AC558" s="20"/>
    </row>
    <row r="559">
      <c r="G559" s="21"/>
      <c r="H559" s="21"/>
      <c r="AB559" s="20"/>
      <c r="AC559" s="20"/>
    </row>
    <row r="560">
      <c r="G560" s="21"/>
      <c r="H560" s="21"/>
      <c r="AB560" s="20"/>
      <c r="AC560" s="20"/>
    </row>
    <row r="561">
      <c r="G561" s="21"/>
      <c r="H561" s="21"/>
      <c r="AB561" s="20"/>
      <c r="AC561" s="20"/>
    </row>
    <row r="562">
      <c r="G562" s="21"/>
      <c r="H562" s="21"/>
      <c r="AB562" s="20"/>
      <c r="AC562" s="20"/>
    </row>
    <row r="563">
      <c r="G563" s="21"/>
      <c r="H563" s="21"/>
      <c r="AB563" s="20"/>
      <c r="AC563" s="20"/>
    </row>
    <row r="564">
      <c r="G564" s="21"/>
      <c r="H564" s="21"/>
      <c r="AB564" s="20"/>
      <c r="AC564" s="20"/>
    </row>
    <row r="565">
      <c r="G565" s="21"/>
      <c r="H565" s="21"/>
      <c r="AB565" s="20"/>
      <c r="AC565" s="20"/>
    </row>
    <row r="566">
      <c r="G566" s="21"/>
      <c r="H566" s="21"/>
      <c r="AB566" s="20"/>
      <c r="AC566" s="20"/>
    </row>
    <row r="567">
      <c r="G567" s="21"/>
      <c r="H567" s="21"/>
      <c r="AB567" s="20"/>
      <c r="AC567" s="20"/>
    </row>
    <row r="568">
      <c r="G568" s="21"/>
      <c r="H568" s="21"/>
      <c r="AB568" s="20"/>
      <c r="AC568" s="20"/>
    </row>
    <row r="569">
      <c r="G569" s="21"/>
      <c r="H569" s="21"/>
      <c r="AB569" s="20"/>
      <c r="AC569" s="20"/>
    </row>
    <row r="570">
      <c r="G570" s="21"/>
      <c r="H570" s="21"/>
      <c r="AB570" s="20"/>
      <c r="AC570" s="20"/>
    </row>
    <row r="571">
      <c r="G571" s="21"/>
      <c r="H571" s="21"/>
      <c r="AB571" s="20"/>
      <c r="AC571" s="20"/>
    </row>
    <row r="572">
      <c r="G572" s="21"/>
      <c r="H572" s="21"/>
      <c r="AB572" s="20"/>
      <c r="AC572" s="20"/>
    </row>
    <row r="573">
      <c r="G573" s="21"/>
      <c r="H573" s="21"/>
      <c r="AB573" s="20"/>
      <c r="AC573" s="20"/>
    </row>
    <row r="574">
      <c r="G574" s="21"/>
      <c r="H574" s="21"/>
      <c r="AB574" s="20"/>
      <c r="AC574" s="20"/>
    </row>
    <row r="575">
      <c r="G575" s="21"/>
      <c r="H575" s="21"/>
      <c r="AB575" s="20"/>
      <c r="AC575" s="20"/>
    </row>
    <row r="576">
      <c r="G576" s="21"/>
      <c r="H576" s="21"/>
      <c r="AB576" s="20"/>
      <c r="AC576" s="20"/>
    </row>
    <row r="577">
      <c r="G577" s="21"/>
      <c r="H577" s="21"/>
      <c r="AB577" s="20"/>
      <c r="AC577" s="20"/>
    </row>
    <row r="578">
      <c r="G578" s="21"/>
      <c r="H578" s="21"/>
      <c r="AB578" s="20"/>
      <c r="AC578" s="20"/>
    </row>
    <row r="579">
      <c r="G579" s="21"/>
      <c r="H579" s="21"/>
      <c r="AB579" s="20"/>
      <c r="AC579" s="20"/>
    </row>
    <row r="580">
      <c r="G580" s="21"/>
      <c r="H580" s="21"/>
      <c r="AB580" s="20"/>
      <c r="AC580" s="20"/>
    </row>
    <row r="581">
      <c r="G581" s="21"/>
      <c r="H581" s="21"/>
      <c r="AB581" s="20"/>
      <c r="AC581" s="20"/>
    </row>
    <row r="582">
      <c r="G582" s="21"/>
      <c r="H582" s="21"/>
      <c r="AB582" s="20"/>
      <c r="AC582" s="20"/>
    </row>
    <row r="583">
      <c r="G583" s="21"/>
      <c r="H583" s="21"/>
      <c r="AB583" s="20"/>
      <c r="AC583" s="20"/>
    </row>
    <row r="584">
      <c r="G584" s="21"/>
      <c r="H584" s="21"/>
      <c r="AB584" s="20"/>
      <c r="AC584" s="20"/>
    </row>
    <row r="585">
      <c r="G585" s="21"/>
      <c r="H585" s="21"/>
      <c r="AB585" s="20"/>
      <c r="AC585" s="20"/>
    </row>
    <row r="586">
      <c r="G586" s="21"/>
      <c r="H586" s="21"/>
      <c r="AB586" s="20"/>
      <c r="AC586" s="20"/>
    </row>
    <row r="587">
      <c r="G587" s="21"/>
      <c r="H587" s="21"/>
      <c r="AB587" s="20"/>
      <c r="AC587" s="20"/>
    </row>
    <row r="588">
      <c r="G588" s="21"/>
      <c r="H588" s="21"/>
      <c r="AB588" s="20"/>
      <c r="AC588" s="20"/>
    </row>
    <row r="589">
      <c r="G589" s="21"/>
      <c r="H589" s="21"/>
      <c r="AB589" s="20"/>
      <c r="AC589" s="20"/>
    </row>
    <row r="590">
      <c r="G590" s="21"/>
      <c r="H590" s="21"/>
      <c r="AB590" s="20"/>
      <c r="AC590" s="20"/>
    </row>
    <row r="591">
      <c r="G591" s="21"/>
      <c r="H591" s="21"/>
      <c r="AB591" s="20"/>
      <c r="AC591" s="20"/>
    </row>
    <row r="592">
      <c r="G592" s="21"/>
      <c r="H592" s="21"/>
      <c r="AB592" s="20"/>
      <c r="AC592" s="20"/>
    </row>
    <row r="593">
      <c r="G593" s="21"/>
      <c r="H593" s="21"/>
      <c r="AB593" s="20"/>
      <c r="AC593" s="20"/>
    </row>
    <row r="594">
      <c r="G594" s="21"/>
      <c r="H594" s="21"/>
      <c r="AB594" s="20"/>
      <c r="AC594" s="20"/>
    </row>
    <row r="595">
      <c r="G595" s="21"/>
      <c r="H595" s="21"/>
      <c r="AB595" s="20"/>
      <c r="AC595" s="20"/>
    </row>
    <row r="596">
      <c r="G596" s="21"/>
      <c r="H596" s="21"/>
      <c r="AB596" s="20"/>
      <c r="AC596" s="20"/>
    </row>
    <row r="597">
      <c r="G597" s="21"/>
      <c r="H597" s="21"/>
      <c r="AB597" s="20"/>
      <c r="AC597" s="20"/>
    </row>
    <row r="598">
      <c r="G598" s="21"/>
      <c r="H598" s="21"/>
      <c r="AB598" s="20"/>
      <c r="AC598" s="20"/>
    </row>
    <row r="599">
      <c r="G599" s="21"/>
      <c r="H599" s="21"/>
      <c r="AB599" s="20"/>
      <c r="AC599" s="20"/>
    </row>
    <row r="600">
      <c r="G600" s="21"/>
      <c r="H600" s="21"/>
      <c r="AB600" s="20"/>
      <c r="AC600" s="20"/>
    </row>
    <row r="601">
      <c r="G601" s="21"/>
      <c r="H601" s="21"/>
      <c r="AB601" s="20"/>
      <c r="AC601" s="20"/>
    </row>
    <row r="602">
      <c r="G602" s="21"/>
      <c r="H602" s="21"/>
      <c r="AB602" s="20"/>
      <c r="AC602" s="20"/>
    </row>
    <row r="603">
      <c r="G603" s="21"/>
      <c r="H603" s="21"/>
      <c r="AB603" s="20"/>
      <c r="AC603" s="20"/>
    </row>
    <row r="604">
      <c r="G604" s="21"/>
      <c r="H604" s="21"/>
      <c r="AB604" s="20"/>
      <c r="AC604" s="20"/>
    </row>
    <row r="605">
      <c r="G605" s="21"/>
      <c r="H605" s="21"/>
      <c r="AB605" s="20"/>
      <c r="AC605" s="20"/>
    </row>
    <row r="606">
      <c r="G606" s="21"/>
      <c r="H606" s="21"/>
      <c r="AB606" s="20"/>
      <c r="AC606" s="20"/>
    </row>
    <row r="607">
      <c r="G607" s="21"/>
      <c r="H607" s="21"/>
      <c r="AB607" s="20"/>
      <c r="AC607" s="20"/>
    </row>
    <row r="608">
      <c r="G608" s="21"/>
      <c r="H608" s="21"/>
      <c r="AB608" s="20"/>
      <c r="AC608" s="20"/>
    </row>
    <row r="609">
      <c r="G609" s="21"/>
      <c r="H609" s="21"/>
      <c r="AB609" s="20"/>
      <c r="AC609" s="20"/>
    </row>
    <row r="610">
      <c r="G610" s="21"/>
      <c r="H610" s="21"/>
      <c r="AB610" s="20"/>
      <c r="AC610" s="20"/>
    </row>
    <row r="611">
      <c r="G611" s="21"/>
      <c r="H611" s="21"/>
      <c r="AB611" s="20"/>
      <c r="AC611" s="20"/>
    </row>
    <row r="612">
      <c r="G612" s="21"/>
      <c r="H612" s="21"/>
      <c r="AB612" s="20"/>
      <c r="AC612" s="20"/>
    </row>
    <row r="613">
      <c r="G613" s="21"/>
      <c r="H613" s="21"/>
      <c r="AB613" s="20"/>
      <c r="AC613" s="20"/>
    </row>
    <row r="614">
      <c r="G614" s="21"/>
      <c r="H614" s="21"/>
      <c r="AB614" s="20"/>
      <c r="AC614" s="20"/>
    </row>
    <row r="615">
      <c r="G615" s="21"/>
      <c r="H615" s="21"/>
      <c r="AB615" s="20"/>
      <c r="AC615" s="20"/>
    </row>
    <row r="616">
      <c r="G616" s="21"/>
      <c r="H616" s="21"/>
      <c r="AB616" s="20"/>
      <c r="AC616" s="20"/>
    </row>
    <row r="617">
      <c r="G617" s="21"/>
      <c r="H617" s="21"/>
      <c r="AB617" s="20"/>
      <c r="AC617" s="20"/>
    </row>
    <row r="618">
      <c r="G618" s="21"/>
      <c r="H618" s="21"/>
      <c r="AB618" s="20"/>
      <c r="AC618" s="20"/>
    </row>
    <row r="619">
      <c r="G619" s="21"/>
      <c r="H619" s="21"/>
      <c r="AB619" s="20"/>
      <c r="AC619" s="20"/>
    </row>
    <row r="620">
      <c r="G620" s="21"/>
      <c r="H620" s="21"/>
      <c r="AB620" s="20"/>
      <c r="AC620" s="20"/>
    </row>
    <row r="621">
      <c r="G621" s="21"/>
      <c r="H621" s="21"/>
      <c r="AB621" s="20"/>
      <c r="AC621" s="20"/>
    </row>
    <row r="622">
      <c r="G622" s="21"/>
      <c r="H622" s="21"/>
      <c r="AB622" s="20"/>
      <c r="AC622" s="20"/>
    </row>
    <row r="623">
      <c r="G623" s="21"/>
      <c r="H623" s="21"/>
      <c r="AB623" s="20"/>
      <c r="AC623" s="20"/>
    </row>
    <row r="624">
      <c r="G624" s="21"/>
      <c r="H624" s="21"/>
      <c r="AB624" s="20"/>
      <c r="AC624" s="20"/>
    </row>
    <row r="625">
      <c r="G625" s="21"/>
      <c r="H625" s="21"/>
      <c r="AB625" s="20"/>
      <c r="AC625" s="20"/>
    </row>
    <row r="626">
      <c r="G626" s="21"/>
      <c r="H626" s="21"/>
      <c r="AB626" s="20"/>
      <c r="AC626" s="20"/>
    </row>
    <row r="627">
      <c r="G627" s="21"/>
      <c r="H627" s="21"/>
      <c r="AB627" s="20"/>
      <c r="AC627" s="20"/>
    </row>
    <row r="628">
      <c r="G628" s="21"/>
      <c r="H628" s="21"/>
      <c r="AB628" s="20"/>
      <c r="AC628" s="20"/>
    </row>
    <row r="629">
      <c r="G629" s="21"/>
      <c r="H629" s="21"/>
      <c r="AB629" s="20"/>
      <c r="AC629" s="20"/>
    </row>
    <row r="630">
      <c r="G630" s="21"/>
      <c r="H630" s="21"/>
      <c r="AB630" s="20"/>
      <c r="AC630" s="20"/>
    </row>
    <row r="631">
      <c r="G631" s="21"/>
      <c r="H631" s="21"/>
      <c r="AB631" s="20"/>
      <c r="AC631" s="20"/>
    </row>
    <row r="632">
      <c r="G632" s="21"/>
      <c r="H632" s="21"/>
      <c r="AB632" s="20"/>
      <c r="AC632" s="20"/>
    </row>
    <row r="633">
      <c r="G633" s="21"/>
      <c r="H633" s="21"/>
      <c r="AB633" s="20"/>
      <c r="AC633" s="20"/>
    </row>
    <row r="634">
      <c r="G634" s="21"/>
      <c r="H634" s="21"/>
      <c r="AB634" s="20"/>
      <c r="AC634" s="20"/>
    </row>
    <row r="635">
      <c r="G635" s="21"/>
      <c r="H635" s="21"/>
      <c r="AB635" s="20"/>
      <c r="AC635" s="20"/>
    </row>
    <row r="636">
      <c r="G636" s="21"/>
      <c r="H636" s="21"/>
      <c r="AB636" s="20"/>
      <c r="AC636" s="20"/>
    </row>
    <row r="637">
      <c r="G637" s="21"/>
      <c r="H637" s="21"/>
      <c r="AB637" s="20"/>
      <c r="AC637" s="20"/>
    </row>
    <row r="638">
      <c r="G638" s="21"/>
      <c r="H638" s="21"/>
      <c r="AB638" s="20"/>
      <c r="AC638" s="20"/>
    </row>
    <row r="639">
      <c r="G639" s="21"/>
      <c r="H639" s="21"/>
      <c r="AB639" s="20"/>
      <c r="AC639" s="20"/>
    </row>
    <row r="640">
      <c r="G640" s="21"/>
      <c r="H640" s="21"/>
      <c r="AB640" s="20"/>
      <c r="AC640" s="20"/>
    </row>
    <row r="641">
      <c r="G641" s="21"/>
      <c r="H641" s="21"/>
      <c r="AB641" s="20"/>
      <c r="AC641" s="20"/>
    </row>
    <row r="642">
      <c r="G642" s="21"/>
      <c r="H642" s="21"/>
      <c r="AB642" s="20"/>
      <c r="AC642" s="20"/>
    </row>
    <row r="643">
      <c r="G643" s="21"/>
      <c r="H643" s="21"/>
      <c r="AB643" s="20"/>
      <c r="AC643" s="20"/>
    </row>
    <row r="644">
      <c r="G644" s="21"/>
      <c r="H644" s="21"/>
      <c r="AB644" s="20"/>
      <c r="AC644" s="20"/>
    </row>
    <row r="645">
      <c r="G645" s="21"/>
      <c r="H645" s="21"/>
      <c r="AB645" s="20"/>
      <c r="AC645" s="20"/>
    </row>
    <row r="646">
      <c r="G646" s="21"/>
      <c r="H646" s="21"/>
      <c r="AB646" s="20"/>
      <c r="AC646" s="20"/>
    </row>
    <row r="647">
      <c r="G647" s="21"/>
      <c r="H647" s="21"/>
      <c r="AB647" s="20"/>
      <c r="AC647" s="20"/>
    </row>
    <row r="648">
      <c r="G648" s="21"/>
      <c r="H648" s="21"/>
      <c r="AB648" s="20"/>
      <c r="AC648" s="20"/>
    </row>
    <row r="649">
      <c r="G649" s="21"/>
      <c r="H649" s="21"/>
      <c r="AB649" s="20"/>
      <c r="AC649" s="20"/>
    </row>
    <row r="650">
      <c r="G650" s="21"/>
      <c r="H650" s="21"/>
      <c r="AB650" s="20"/>
      <c r="AC650" s="20"/>
    </row>
    <row r="651">
      <c r="G651" s="21"/>
      <c r="H651" s="21"/>
      <c r="AB651" s="20"/>
      <c r="AC651" s="20"/>
    </row>
    <row r="652">
      <c r="G652" s="21"/>
      <c r="H652" s="21"/>
      <c r="AB652" s="20"/>
      <c r="AC652" s="20"/>
    </row>
    <row r="653">
      <c r="G653" s="21"/>
      <c r="H653" s="21"/>
      <c r="AB653" s="20"/>
      <c r="AC653" s="20"/>
    </row>
    <row r="654">
      <c r="G654" s="21"/>
      <c r="H654" s="21"/>
      <c r="AB654" s="20"/>
      <c r="AC654" s="20"/>
    </row>
    <row r="655">
      <c r="G655" s="21"/>
      <c r="H655" s="21"/>
      <c r="AB655" s="20"/>
      <c r="AC655" s="20"/>
    </row>
    <row r="656">
      <c r="G656" s="21"/>
      <c r="H656" s="21"/>
      <c r="AB656" s="20"/>
      <c r="AC656" s="20"/>
    </row>
    <row r="657">
      <c r="G657" s="21"/>
      <c r="H657" s="21"/>
      <c r="AB657" s="20"/>
      <c r="AC657" s="20"/>
    </row>
    <row r="658">
      <c r="G658" s="21"/>
      <c r="H658" s="21"/>
      <c r="AB658" s="20"/>
      <c r="AC658" s="20"/>
    </row>
    <row r="659">
      <c r="G659" s="21"/>
      <c r="H659" s="21"/>
      <c r="AB659" s="20"/>
      <c r="AC659" s="20"/>
    </row>
    <row r="660">
      <c r="G660" s="21"/>
      <c r="H660" s="21"/>
      <c r="AB660" s="20"/>
      <c r="AC660" s="20"/>
    </row>
    <row r="661">
      <c r="G661" s="21"/>
      <c r="H661" s="21"/>
      <c r="AB661" s="20"/>
      <c r="AC661" s="20"/>
    </row>
    <row r="662">
      <c r="G662" s="21"/>
      <c r="H662" s="21"/>
      <c r="AB662" s="20"/>
      <c r="AC662" s="20"/>
    </row>
    <row r="663">
      <c r="G663" s="21"/>
      <c r="H663" s="21"/>
      <c r="AB663" s="20"/>
      <c r="AC663" s="20"/>
    </row>
    <row r="664">
      <c r="G664" s="21"/>
      <c r="H664" s="21"/>
      <c r="AB664" s="20"/>
      <c r="AC664" s="20"/>
    </row>
    <row r="665">
      <c r="G665" s="21"/>
      <c r="H665" s="21"/>
      <c r="AB665" s="20"/>
      <c r="AC665" s="20"/>
    </row>
    <row r="666">
      <c r="G666" s="21"/>
      <c r="H666" s="21"/>
      <c r="AB666" s="20"/>
      <c r="AC666" s="20"/>
    </row>
    <row r="667">
      <c r="G667" s="21"/>
      <c r="H667" s="21"/>
      <c r="AB667" s="20"/>
      <c r="AC667" s="20"/>
    </row>
    <row r="668">
      <c r="G668" s="21"/>
      <c r="H668" s="21"/>
      <c r="AB668" s="20"/>
      <c r="AC668" s="20"/>
    </row>
    <row r="669">
      <c r="G669" s="21"/>
      <c r="H669" s="21"/>
      <c r="AB669" s="20"/>
      <c r="AC669" s="20"/>
    </row>
    <row r="670">
      <c r="G670" s="21"/>
      <c r="H670" s="21"/>
      <c r="AB670" s="20"/>
      <c r="AC670" s="20"/>
    </row>
    <row r="671">
      <c r="G671" s="21"/>
      <c r="H671" s="21"/>
      <c r="AB671" s="20"/>
      <c r="AC671" s="20"/>
    </row>
    <row r="672">
      <c r="G672" s="21"/>
      <c r="H672" s="21"/>
      <c r="AB672" s="20"/>
      <c r="AC672" s="20"/>
    </row>
    <row r="673">
      <c r="G673" s="21"/>
      <c r="H673" s="21"/>
      <c r="AB673" s="20"/>
      <c r="AC673" s="20"/>
    </row>
    <row r="674">
      <c r="G674" s="21"/>
      <c r="H674" s="21"/>
      <c r="AB674" s="20"/>
      <c r="AC674" s="20"/>
    </row>
    <row r="675">
      <c r="G675" s="21"/>
      <c r="H675" s="21"/>
      <c r="AB675" s="20"/>
      <c r="AC675" s="20"/>
    </row>
    <row r="676">
      <c r="G676" s="21"/>
      <c r="H676" s="21"/>
      <c r="AB676" s="20"/>
      <c r="AC676" s="20"/>
    </row>
    <row r="677">
      <c r="G677" s="21"/>
      <c r="H677" s="21"/>
      <c r="AB677" s="20"/>
      <c r="AC677" s="20"/>
    </row>
    <row r="678">
      <c r="G678" s="21"/>
      <c r="H678" s="21"/>
      <c r="AB678" s="20"/>
      <c r="AC678" s="20"/>
    </row>
    <row r="679">
      <c r="G679" s="21"/>
      <c r="H679" s="21"/>
      <c r="AB679" s="20"/>
      <c r="AC679" s="20"/>
    </row>
    <row r="680">
      <c r="G680" s="21"/>
      <c r="H680" s="21"/>
      <c r="AB680" s="20"/>
      <c r="AC680" s="20"/>
    </row>
    <row r="681">
      <c r="G681" s="21"/>
      <c r="H681" s="21"/>
      <c r="AB681" s="20"/>
      <c r="AC681" s="20"/>
    </row>
    <row r="682">
      <c r="G682" s="21"/>
      <c r="H682" s="21"/>
      <c r="AB682" s="20"/>
      <c r="AC682" s="20"/>
    </row>
    <row r="683">
      <c r="G683" s="21"/>
      <c r="H683" s="21"/>
      <c r="AB683" s="20"/>
      <c r="AC683" s="20"/>
    </row>
    <row r="684">
      <c r="G684" s="21"/>
      <c r="H684" s="21"/>
      <c r="AB684" s="20"/>
      <c r="AC684" s="20"/>
    </row>
    <row r="685">
      <c r="G685" s="21"/>
      <c r="H685" s="21"/>
      <c r="AB685" s="20"/>
      <c r="AC685" s="20"/>
    </row>
    <row r="686">
      <c r="G686" s="21"/>
      <c r="H686" s="21"/>
      <c r="AB686" s="20"/>
      <c r="AC686" s="20"/>
    </row>
    <row r="687">
      <c r="G687" s="21"/>
      <c r="H687" s="21"/>
      <c r="AB687" s="20"/>
      <c r="AC687" s="20"/>
    </row>
    <row r="688">
      <c r="G688" s="21"/>
      <c r="H688" s="21"/>
      <c r="AB688" s="20"/>
      <c r="AC688" s="20"/>
    </row>
    <row r="689">
      <c r="G689" s="21"/>
      <c r="H689" s="21"/>
      <c r="AB689" s="20"/>
      <c r="AC689" s="20"/>
    </row>
    <row r="690">
      <c r="G690" s="21"/>
      <c r="H690" s="21"/>
      <c r="AB690" s="20"/>
      <c r="AC690" s="20"/>
    </row>
    <row r="691">
      <c r="G691" s="21"/>
      <c r="H691" s="21"/>
      <c r="AB691" s="20"/>
      <c r="AC691" s="20"/>
    </row>
    <row r="692">
      <c r="G692" s="21"/>
      <c r="H692" s="21"/>
      <c r="AB692" s="20"/>
      <c r="AC692" s="20"/>
    </row>
    <row r="693">
      <c r="G693" s="21"/>
      <c r="H693" s="21"/>
      <c r="AB693" s="20"/>
      <c r="AC693" s="20"/>
    </row>
    <row r="694">
      <c r="G694" s="21"/>
      <c r="H694" s="21"/>
      <c r="AB694" s="20"/>
      <c r="AC694" s="20"/>
    </row>
    <row r="695">
      <c r="G695" s="21"/>
      <c r="H695" s="21"/>
      <c r="AB695" s="20"/>
      <c r="AC695" s="20"/>
    </row>
    <row r="696">
      <c r="G696" s="21"/>
      <c r="H696" s="21"/>
      <c r="AB696" s="20"/>
      <c r="AC696" s="20"/>
    </row>
    <row r="697">
      <c r="G697" s="21"/>
      <c r="H697" s="21"/>
      <c r="AB697" s="20"/>
      <c r="AC697" s="20"/>
    </row>
    <row r="698">
      <c r="G698" s="21"/>
      <c r="H698" s="21"/>
      <c r="AB698" s="20"/>
      <c r="AC698" s="20"/>
    </row>
    <row r="699">
      <c r="G699" s="21"/>
      <c r="H699" s="21"/>
      <c r="AB699" s="20"/>
      <c r="AC699" s="20"/>
    </row>
    <row r="700">
      <c r="G700" s="21"/>
      <c r="H700" s="21"/>
      <c r="AB700" s="20"/>
      <c r="AC700" s="20"/>
    </row>
    <row r="701">
      <c r="G701" s="21"/>
      <c r="H701" s="21"/>
      <c r="AB701" s="20"/>
      <c r="AC701" s="20"/>
    </row>
    <row r="702">
      <c r="G702" s="21"/>
      <c r="H702" s="21"/>
      <c r="AB702" s="20"/>
      <c r="AC702" s="20"/>
    </row>
    <row r="703">
      <c r="G703" s="21"/>
      <c r="H703" s="21"/>
      <c r="AB703" s="20"/>
      <c r="AC703" s="20"/>
    </row>
    <row r="704">
      <c r="G704" s="21"/>
      <c r="H704" s="21"/>
      <c r="AB704" s="20"/>
      <c r="AC704" s="20"/>
    </row>
    <row r="705">
      <c r="G705" s="21"/>
      <c r="H705" s="21"/>
      <c r="AB705" s="20"/>
      <c r="AC705" s="20"/>
    </row>
    <row r="706">
      <c r="G706" s="21"/>
      <c r="H706" s="21"/>
      <c r="AB706" s="20"/>
      <c r="AC706" s="20"/>
    </row>
    <row r="707">
      <c r="G707" s="21"/>
      <c r="H707" s="21"/>
      <c r="AB707" s="20"/>
      <c r="AC707" s="20"/>
    </row>
    <row r="708">
      <c r="G708" s="21"/>
      <c r="H708" s="21"/>
      <c r="AB708" s="20"/>
      <c r="AC708" s="20"/>
    </row>
    <row r="709">
      <c r="G709" s="21"/>
      <c r="H709" s="21"/>
      <c r="AB709" s="20"/>
      <c r="AC709" s="20"/>
    </row>
    <row r="710">
      <c r="G710" s="21"/>
      <c r="H710" s="21"/>
      <c r="AB710" s="20"/>
      <c r="AC710" s="20"/>
    </row>
    <row r="711">
      <c r="G711" s="21"/>
      <c r="H711" s="21"/>
      <c r="AB711" s="20"/>
      <c r="AC711" s="20"/>
    </row>
    <row r="712">
      <c r="G712" s="21"/>
      <c r="H712" s="21"/>
      <c r="AB712" s="20"/>
      <c r="AC712" s="20"/>
    </row>
    <row r="713">
      <c r="G713" s="21"/>
      <c r="H713" s="21"/>
      <c r="AB713" s="20"/>
      <c r="AC713" s="20"/>
    </row>
    <row r="714">
      <c r="G714" s="21"/>
      <c r="H714" s="21"/>
      <c r="AB714" s="20"/>
      <c r="AC714" s="20"/>
    </row>
    <row r="715">
      <c r="G715" s="21"/>
      <c r="H715" s="21"/>
      <c r="AB715" s="20"/>
      <c r="AC715" s="20"/>
    </row>
    <row r="716">
      <c r="G716" s="21"/>
      <c r="H716" s="21"/>
      <c r="AB716" s="20"/>
      <c r="AC716" s="20"/>
    </row>
    <row r="717">
      <c r="G717" s="21"/>
      <c r="H717" s="21"/>
      <c r="AB717" s="20"/>
      <c r="AC717" s="20"/>
    </row>
    <row r="718">
      <c r="G718" s="21"/>
      <c r="H718" s="21"/>
      <c r="AB718" s="20"/>
      <c r="AC718" s="20"/>
    </row>
    <row r="719">
      <c r="G719" s="21"/>
      <c r="H719" s="21"/>
      <c r="AB719" s="20"/>
      <c r="AC719" s="20"/>
    </row>
    <row r="720">
      <c r="G720" s="21"/>
      <c r="H720" s="21"/>
      <c r="AB720" s="20"/>
      <c r="AC720" s="20"/>
    </row>
    <row r="721">
      <c r="G721" s="21"/>
      <c r="H721" s="21"/>
      <c r="AB721" s="20"/>
      <c r="AC721" s="20"/>
    </row>
    <row r="722">
      <c r="G722" s="21"/>
      <c r="H722" s="21"/>
      <c r="AB722" s="20"/>
      <c r="AC722" s="20"/>
    </row>
    <row r="723">
      <c r="G723" s="21"/>
      <c r="H723" s="21"/>
      <c r="AB723" s="20"/>
      <c r="AC723" s="20"/>
    </row>
    <row r="724">
      <c r="G724" s="21"/>
      <c r="H724" s="21"/>
      <c r="AB724" s="20"/>
      <c r="AC724" s="20"/>
    </row>
    <row r="725">
      <c r="G725" s="21"/>
      <c r="H725" s="21"/>
      <c r="AB725" s="20"/>
      <c r="AC725" s="20"/>
    </row>
    <row r="726">
      <c r="G726" s="21"/>
      <c r="H726" s="21"/>
      <c r="AB726" s="20"/>
      <c r="AC726" s="20"/>
    </row>
    <row r="727">
      <c r="G727" s="21"/>
      <c r="H727" s="21"/>
      <c r="AB727" s="20"/>
      <c r="AC727" s="20"/>
    </row>
    <row r="728">
      <c r="G728" s="21"/>
      <c r="H728" s="21"/>
      <c r="AB728" s="20"/>
      <c r="AC728" s="20"/>
    </row>
    <row r="729">
      <c r="G729" s="21"/>
      <c r="H729" s="21"/>
      <c r="AB729" s="20"/>
      <c r="AC729" s="20"/>
    </row>
    <row r="730">
      <c r="G730" s="21"/>
      <c r="H730" s="21"/>
      <c r="AB730" s="20"/>
      <c r="AC730" s="20"/>
    </row>
    <row r="731">
      <c r="G731" s="21"/>
      <c r="H731" s="21"/>
      <c r="AB731" s="20"/>
      <c r="AC731" s="20"/>
    </row>
    <row r="732">
      <c r="G732" s="21"/>
      <c r="H732" s="21"/>
      <c r="AB732" s="20"/>
      <c r="AC732" s="20"/>
    </row>
    <row r="733">
      <c r="G733" s="21"/>
      <c r="H733" s="21"/>
      <c r="AB733" s="20"/>
      <c r="AC733" s="20"/>
    </row>
    <row r="734">
      <c r="G734" s="21"/>
      <c r="H734" s="21"/>
      <c r="AB734" s="20"/>
      <c r="AC734" s="20"/>
    </row>
    <row r="735">
      <c r="G735" s="21"/>
      <c r="H735" s="21"/>
      <c r="AB735" s="20"/>
      <c r="AC735" s="20"/>
    </row>
    <row r="736">
      <c r="G736" s="21"/>
      <c r="H736" s="21"/>
      <c r="AB736" s="20"/>
      <c r="AC736" s="20"/>
    </row>
    <row r="737">
      <c r="G737" s="21"/>
      <c r="H737" s="21"/>
      <c r="AB737" s="20"/>
      <c r="AC737" s="20"/>
    </row>
    <row r="738">
      <c r="G738" s="21"/>
      <c r="H738" s="21"/>
      <c r="AB738" s="20"/>
      <c r="AC738" s="20"/>
    </row>
    <row r="739">
      <c r="G739" s="21"/>
      <c r="H739" s="21"/>
      <c r="AB739" s="20"/>
      <c r="AC739" s="20"/>
    </row>
    <row r="740">
      <c r="G740" s="21"/>
      <c r="H740" s="21"/>
      <c r="AB740" s="20"/>
      <c r="AC740" s="20"/>
    </row>
    <row r="741">
      <c r="G741" s="21"/>
      <c r="H741" s="21"/>
      <c r="AB741" s="20"/>
      <c r="AC741" s="20"/>
    </row>
    <row r="742">
      <c r="G742" s="21"/>
      <c r="H742" s="21"/>
      <c r="AB742" s="20"/>
      <c r="AC742" s="20"/>
    </row>
    <row r="743">
      <c r="G743" s="21"/>
      <c r="H743" s="21"/>
      <c r="AB743" s="20"/>
      <c r="AC743" s="20"/>
    </row>
    <row r="744">
      <c r="G744" s="21"/>
      <c r="H744" s="21"/>
      <c r="AB744" s="20"/>
      <c r="AC744" s="20"/>
    </row>
    <row r="745">
      <c r="G745" s="21"/>
      <c r="H745" s="21"/>
      <c r="AB745" s="20"/>
      <c r="AC745" s="20"/>
    </row>
    <row r="746">
      <c r="G746" s="21"/>
      <c r="H746" s="21"/>
      <c r="AB746" s="20"/>
      <c r="AC746" s="20"/>
    </row>
    <row r="747">
      <c r="G747" s="21"/>
      <c r="H747" s="21"/>
      <c r="AB747" s="20"/>
      <c r="AC747" s="20"/>
    </row>
    <row r="748">
      <c r="G748" s="21"/>
      <c r="H748" s="21"/>
      <c r="AB748" s="20"/>
      <c r="AC748" s="20"/>
    </row>
    <row r="749">
      <c r="G749" s="21"/>
      <c r="H749" s="21"/>
      <c r="AB749" s="20"/>
      <c r="AC749" s="20"/>
    </row>
    <row r="750">
      <c r="G750" s="21"/>
      <c r="H750" s="21"/>
      <c r="AB750" s="20"/>
      <c r="AC750" s="20"/>
    </row>
    <row r="751">
      <c r="G751" s="21"/>
      <c r="H751" s="21"/>
      <c r="AB751" s="20"/>
      <c r="AC751" s="20"/>
    </row>
    <row r="752">
      <c r="G752" s="21"/>
      <c r="H752" s="21"/>
      <c r="AB752" s="20"/>
      <c r="AC752" s="20"/>
    </row>
    <row r="753">
      <c r="G753" s="21"/>
      <c r="H753" s="21"/>
      <c r="AB753" s="20"/>
      <c r="AC753" s="20"/>
    </row>
    <row r="754">
      <c r="G754" s="21"/>
      <c r="H754" s="21"/>
      <c r="AB754" s="20"/>
      <c r="AC754" s="20"/>
    </row>
    <row r="755">
      <c r="G755" s="21"/>
      <c r="H755" s="21"/>
      <c r="AB755" s="20"/>
      <c r="AC755" s="20"/>
    </row>
    <row r="756">
      <c r="G756" s="21"/>
      <c r="H756" s="21"/>
      <c r="AB756" s="20"/>
      <c r="AC756" s="20"/>
    </row>
    <row r="757">
      <c r="G757" s="21"/>
      <c r="H757" s="21"/>
      <c r="AB757" s="20"/>
      <c r="AC757" s="20"/>
    </row>
    <row r="758">
      <c r="G758" s="21"/>
      <c r="H758" s="21"/>
      <c r="AB758" s="20"/>
      <c r="AC758" s="20"/>
    </row>
    <row r="759">
      <c r="G759" s="21"/>
      <c r="H759" s="21"/>
      <c r="AB759" s="20"/>
      <c r="AC759" s="20"/>
    </row>
    <row r="760">
      <c r="G760" s="21"/>
      <c r="H760" s="21"/>
      <c r="AB760" s="20"/>
      <c r="AC760" s="20"/>
    </row>
    <row r="761">
      <c r="G761" s="21"/>
      <c r="H761" s="21"/>
      <c r="AB761" s="20"/>
      <c r="AC761" s="20"/>
    </row>
    <row r="762">
      <c r="G762" s="21"/>
      <c r="H762" s="21"/>
      <c r="AB762" s="20"/>
      <c r="AC762" s="20"/>
    </row>
    <row r="763">
      <c r="G763" s="21"/>
      <c r="H763" s="21"/>
      <c r="AB763" s="20"/>
      <c r="AC763" s="20"/>
    </row>
    <row r="764">
      <c r="G764" s="21"/>
      <c r="H764" s="21"/>
      <c r="AB764" s="20"/>
      <c r="AC764" s="20"/>
    </row>
    <row r="765">
      <c r="G765" s="21"/>
      <c r="H765" s="21"/>
      <c r="AB765" s="20"/>
      <c r="AC765" s="20"/>
    </row>
    <row r="766">
      <c r="G766" s="21"/>
      <c r="H766" s="21"/>
      <c r="AB766" s="20"/>
      <c r="AC766" s="20"/>
    </row>
    <row r="767">
      <c r="G767" s="21"/>
      <c r="H767" s="21"/>
      <c r="AB767" s="20"/>
      <c r="AC767" s="20"/>
    </row>
    <row r="768">
      <c r="G768" s="21"/>
      <c r="H768" s="21"/>
      <c r="AB768" s="20"/>
      <c r="AC768" s="20"/>
    </row>
    <row r="769">
      <c r="G769" s="21"/>
      <c r="H769" s="21"/>
      <c r="AB769" s="20"/>
      <c r="AC769" s="20"/>
    </row>
    <row r="770">
      <c r="G770" s="21"/>
      <c r="H770" s="21"/>
      <c r="AB770" s="20"/>
      <c r="AC770" s="20"/>
    </row>
    <row r="771">
      <c r="G771" s="21"/>
      <c r="H771" s="21"/>
      <c r="AB771" s="20"/>
      <c r="AC771" s="20"/>
    </row>
    <row r="772">
      <c r="G772" s="21"/>
      <c r="H772" s="21"/>
      <c r="AB772" s="20"/>
      <c r="AC772" s="20"/>
    </row>
    <row r="773">
      <c r="G773" s="21"/>
      <c r="H773" s="21"/>
      <c r="AB773" s="20"/>
      <c r="AC773" s="20"/>
    </row>
    <row r="774">
      <c r="G774" s="21"/>
      <c r="H774" s="21"/>
      <c r="AB774" s="20"/>
      <c r="AC774" s="20"/>
    </row>
    <row r="775">
      <c r="G775" s="21"/>
      <c r="H775" s="21"/>
      <c r="AB775" s="20"/>
      <c r="AC775" s="20"/>
    </row>
    <row r="776">
      <c r="G776" s="21"/>
      <c r="H776" s="21"/>
      <c r="AB776" s="20"/>
      <c r="AC776" s="20"/>
    </row>
    <row r="777">
      <c r="G777" s="21"/>
      <c r="H777" s="21"/>
      <c r="AB777" s="20"/>
      <c r="AC777" s="20"/>
    </row>
    <row r="778">
      <c r="G778" s="21"/>
      <c r="H778" s="21"/>
      <c r="AB778" s="20"/>
      <c r="AC778" s="20"/>
    </row>
    <row r="779">
      <c r="G779" s="21"/>
      <c r="H779" s="21"/>
      <c r="AB779" s="20"/>
      <c r="AC779" s="20"/>
    </row>
    <row r="780">
      <c r="G780" s="21"/>
      <c r="H780" s="21"/>
      <c r="AB780" s="20"/>
      <c r="AC780" s="20"/>
    </row>
    <row r="781">
      <c r="G781" s="21"/>
      <c r="H781" s="21"/>
      <c r="AB781" s="20"/>
      <c r="AC781" s="20"/>
    </row>
    <row r="782">
      <c r="G782" s="21"/>
      <c r="H782" s="21"/>
      <c r="AB782" s="20"/>
      <c r="AC782" s="20"/>
    </row>
    <row r="783">
      <c r="G783" s="21"/>
      <c r="H783" s="21"/>
      <c r="AB783" s="20"/>
      <c r="AC783" s="20"/>
    </row>
    <row r="784">
      <c r="G784" s="21"/>
      <c r="H784" s="21"/>
      <c r="AB784" s="20"/>
      <c r="AC784" s="20"/>
    </row>
    <row r="785">
      <c r="G785" s="21"/>
      <c r="H785" s="21"/>
      <c r="AB785" s="20"/>
      <c r="AC785" s="20"/>
    </row>
    <row r="786">
      <c r="G786" s="21"/>
      <c r="H786" s="21"/>
      <c r="AB786" s="20"/>
      <c r="AC786" s="20"/>
    </row>
    <row r="787">
      <c r="G787" s="21"/>
      <c r="H787" s="21"/>
      <c r="AB787" s="20"/>
      <c r="AC787" s="20"/>
    </row>
    <row r="788">
      <c r="G788" s="21"/>
      <c r="H788" s="21"/>
      <c r="AB788" s="20"/>
      <c r="AC788" s="20"/>
    </row>
    <row r="789">
      <c r="G789" s="21"/>
      <c r="H789" s="21"/>
      <c r="AB789" s="20"/>
      <c r="AC789" s="20"/>
    </row>
    <row r="790">
      <c r="G790" s="21"/>
      <c r="H790" s="21"/>
      <c r="AB790" s="20"/>
      <c r="AC790" s="20"/>
    </row>
    <row r="791">
      <c r="G791" s="21"/>
      <c r="H791" s="21"/>
      <c r="AB791" s="20"/>
      <c r="AC791" s="20"/>
    </row>
    <row r="792">
      <c r="G792" s="21"/>
      <c r="H792" s="21"/>
      <c r="AB792" s="20"/>
      <c r="AC792" s="20"/>
    </row>
    <row r="793">
      <c r="G793" s="21"/>
      <c r="H793" s="21"/>
      <c r="AB793" s="20"/>
      <c r="AC793" s="20"/>
    </row>
    <row r="794">
      <c r="G794" s="21"/>
      <c r="H794" s="21"/>
      <c r="AB794" s="20"/>
      <c r="AC794" s="20"/>
    </row>
    <row r="795">
      <c r="G795" s="21"/>
      <c r="H795" s="21"/>
      <c r="AB795" s="20"/>
      <c r="AC795" s="20"/>
    </row>
    <row r="796">
      <c r="G796" s="21"/>
      <c r="H796" s="21"/>
      <c r="AB796" s="20"/>
      <c r="AC796" s="20"/>
    </row>
    <row r="797">
      <c r="G797" s="21"/>
      <c r="H797" s="21"/>
      <c r="AB797" s="20"/>
      <c r="AC797" s="20"/>
    </row>
    <row r="798">
      <c r="G798" s="21"/>
      <c r="H798" s="21"/>
      <c r="AB798" s="20"/>
      <c r="AC798" s="20"/>
    </row>
    <row r="799">
      <c r="G799" s="21"/>
      <c r="H799" s="21"/>
      <c r="AB799" s="20"/>
      <c r="AC799" s="20"/>
    </row>
    <row r="800">
      <c r="G800" s="21"/>
      <c r="H800" s="21"/>
      <c r="AB800" s="20"/>
      <c r="AC800" s="20"/>
    </row>
    <row r="801">
      <c r="G801" s="21"/>
      <c r="H801" s="21"/>
      <c r="AB801" s="20"/>
      <c r="AC801" s="20"/>
    </row>
    <row r="802">
      <c r="G802" s="21"/>
      <c r="H802" s="21"/>
      <c r="AB802" s="20"/>
      <c r="AC802" s="20"/>
    </row>
    <row r="803">
      <c r="G803" s="21"/>
      <c r="H803" s="21"/>
      <c r="AB803" s="20"/>
      <c r="AC803" s="20"/>
    </row>
    <row r="804">
      <c r="G804" s="21"/>
      <c r="H804" s="21"/>
      <c r="AB804" s="20"/>
      <c r="AC804" s="20"/>
    </row>
    <row r="805">
      <c r="G805" s="21"/>
      <c r="H805" s="21"/>
      <c r="AB805" s="20"/>
      <c r="AC805" s="20"/>
    </row>
    <row r="806">
      <c r="G806" s="21"/>
      <c r="H806" s="21"/>
      <c r="AB806" s="20"/>
      <c r="AC806" s="20"/>
    </row>
    <row r="807">
      <c r="G807" s="21"/>
      <c r="H807" s="21"/>
      <c r="AB807" s="20"/>
      <c r="AC807" s="20"/>
    </row>
    <row r="808">
      <c r="G808" s="21"/>
      <c r="H808" s="21"/>
      <c r="AB808" s="20"/>
      <c r="AC808" s="20"/>
    </row>
    <row r="809">
      <c r="G809" s="21"/>
      <c r="H809" s="21"/>
      <c r="AB809" s="20"/>
      <c r="AC809" s="20"/>
    </row>
    <row r="810">
      <c r="G810" s="21"/>
      <c r="H810" s="21"/>
      <c r="AB810" s="20"/>
      <c r="AC810" s="20"/>
    </row>
    <row r="811">
      <c r="G811" s="21"/>
      <c r="H811" s="21"/>
      <c r="AB811" s="20"/>
      <c r="AC811" s="20"/>
    </row>
    <row r="812">
      <c r="G812" s="21"/>
      <c r="H812" s="21"/>
      <c r="AB812" s="20"/>
      <c r="AC812" s="20"/>
    </row>
    <row r="813">
      <c r="G813" s="21"/>
      <c r="H813" s="21"/>
      <c r="AB813" s="20"/>
      <c r="AC813" s="20"/>
    </row>
    <row r="814">
      <c r="G814" s="21"/>
      <c r="H814" s="21"/>
      <c r="AB814" s="20"/>
      <c r="AC814" s="20"/>
    </row>
    <row r="815">
      <c r="G815" s="21"/>
      <c r="H815" s="21"/>
      <c r="AB815" s="20"/>
      <c r="AC815" s="20"/>
    </row>
    <row r="816">
      <c r="G816" s="21"/>
      <c r="H816" s="21"/>
      <c r="AB816" s="20"/>
      <c r="AC816" s="20"/>
    </row>
    <row r="817">
      <c r="G817" s="21"/>
      <c r="H817" s="21"/>
      <c r="AB817" s="20"/>
      <c r="AC817" s="20"/>
    </row>
    <row r="818">
      <c r="G818" s="21"/>
      <c r="H818" s="21"/>
      <c r="AB818" s="20"/>
      <c r="AC818" s="20"/>
    </row>
    <row r="819">
      <c r="G819" s="21"/>
      <c r="H819" s="21"/>
      <c r="AB819" s="20"/>
      <c r="AC819" s="20"/>
    </row>
    <row r="820">
      <c r="G820" s="21"/>
      <c r="H820" s="21"/>
      <c r="AB820" s="20"/>
      <c r="AC820" s="20"/>
    </row>
    <row r="821">
      <c r="G821" s="21"/>
      <c r="H821" s="21"/>
      <c r="AB821" s="20"/>
      <c r="AC821" s="20"/>
    </row>
    <row r="822">
      <c r="G822" s="21"/>
      <c r="H822" s="21"/>
      <c r="AB822" s="20"/>
      <c r="AC822" s="20"/>
    </row>
    <row r="823">
      <c r="G823" s="21"/>
      <c r="H823" s="21"/>
      <c r="AB823" s="20"/>
      <c r="AC823" s="20"/>
    </row>
    <row r="824">
      <c r="G824" s="21"/>
      <c r="H824" s="21"/>
      <c r="AB824" s="20"/>
      <c r="AC824" s="20"/>
    </row>
    <row r="825">
      <c r="G825" s="21"/>
      <c r="H825" s="21"/>
      <c r="AB825" s="20"/>
      <c r="AC825" s="20"/>
    </row>
    <row r="826">
      <c r="G826" s="21"/>
      <c r="H826" s="21"/>
      <c r="AB826" s="20"/>
      <c r="AC826" s="20"/>
    </row>
    <row r="827">
      <c r="G827" s="21"/>
      <c r="H827" s="21"/>
      <c r="AB827" s="20"/>
      <c r="AC827" s="20"/>
    </row>
    <row r="828">
      <c r="G828" s="21"/>
      <c r="H828" s="21"/>
      <c r="AB828" s="20"/>
      <c r="AC828" s="20"/>
    </row>
    <row r="829">
      <c r="G829" s="21"/>
      <c r="H829" s="21"/>
      <c r="AB829" s="20"/>
      <c r="AC829" s="20"/>
    </row>
    <row r="830">
      <c r="G830" s="21"/>
      <c r="H830" s="21"/>
      <c r="AB830" s="20"/>
      <c r="AC830" s="20"/>
    </row>
    <row r="831">
      <c r="G831" s="21"/>
      <c r="H831" s="21"/>
      <c r="AB831" s="20"/>
      <c r="AC831" s="20"/>
    </row>
    <row r="832">
      <c r="G832" s="21"/>
      <c r="H832" s="21"/>
      <c r="AB832" s="20"/>
      <c r="AC832" s="20"/>
    </row>
    <row r="833">
      <c r="G833" s="21"/>
      <c r="H833" s="21"/>
      <c r="AB833" s="20"/>
      <c r="AC833" s="20"/>
    </row>
    <row r="834">
      <c r="G834" s="21"/>
      <c r="H834" s="21"/>
      <c r="AB834" s="20"/>
      <c r="AC834" s="20"/>
    </row>
    <row r="835">
      <c r="G835" s="21"/>
      <c r="H835" s="21"/>
      <c r="AB835" s="20"/>
      <c r="AC835" s="20"/>
    </row>
    <row r="836">
      <c r="G836" s="21"/>
      <c r="H836" s="21"/>
      <c r="AB836" s="20"/>
      <c r="AC836" s="20"/>
    </row>
    <row r="837">
      <c r="G837" s="21"/>
      <c r="H837" s="21"/>
      <c r="AB837" s="20"/>
      <c r="AC837" s="20"/>
    </row>
    <row r="838">
      <c r="G838" s="21"/>
      <c r="H838" s="21"/>
      <c r="AB838" s="20"/>
      <c r="AC838" s="20"/>
    </row>
    <row r="839">
      <c r="G839" s="21"/>
      <c r="H839" s="21"/>
      <c r="AB839" s="20"/>
      <c r="AC839" s="20"/>
    </row>
    <row r="840">
      <c r="G840" s="21"/>
      <c r="H840" s="21"/>
      <c r="AB840" s="20"/>
      <c r="AC840" s="20"/>
    </row>
    <row r="841">
      <c r="G841" s="21"/>
      <c r="H841" s="21"/>
      <c r="AB841" s="20"/>
      <c r="AC841" s="20"/>
    </row>
    <row r="842">
      <c r="G842" s="21"/>
      <c r="H842" s="21"/>
      <c r="AB842" s="20"/>
      <c r="AC842" s="20"/>
    </row>
    <row r="843">
      <c r="G843" s="21"/>
      <c r="H843" s="21"/>
      <c r="AB843" s="20"/>
      <c r="AC843" s="20"/>
    </row>
    <row r="844">
      <c r="G844" s="21"/>
      <c r="H844" s="21"/>
      <c r="AB844" s="20"/>
      <c r="AC844" s="20"/>
    </row>
    <row r="845">
      <c r="G845" s="21"/>
      <c r="H845" s="21"/>
      <c r="AB845" s="20"/>
      <c r="AC845" s="20"/>
    </row>
    <row r="846">
      <c r="G846" s="21"/>
      <c r="H846" s="21"/>
      <c r="AB846" s="20"/>
      <c r="AC846" s="20"/>
    </row>
    <row r="847">
      <c r="G847" s="21"/>
      <c r="H847" s="21"/>
      <c r="AB847" s="20"/>
      <c r="AC847" s="20"/>
    </row>
    <row r="848">
      <c r="G848" s="21"/>
      <c r="H848" s="21"/>
      <c r="AB848" s="20"/>
      <c r="AC848" s="20"/>
    </row>
    <row r="849">
      <c r="G849" s="21"/>
      <c r="H849" s="21"/>
      <c r="AB849" s="20"/>
      <c r="AC849" s="20"/>
    </row>
    <row r="850">
      <c r="G850" s="21"/>
      <c r="H850" s="21"/>
      <c r="AB850" s="20"/>
      <c r="AC850" s="20"/>
    </row>
    <row r="851">
      <c r="G851" s="21"/>
      <c r="H851" s="21"/>
      <c r="AB851" s="20"/>
      <c r="AC851" s="20"/>
    </row>
    <row r="852">
      <c r="G852" s="21"/>
      <c r="H852" s="21"/>
      <c r="AB852" s="20"/>
      <c r="AC852" s="20"/>
    </row>
    <row r="853">
      <c r="G853" s="21"/>
      <c r="H853" s="21"/>
      <c r="AB853" s="20"/>
      <c r="AC853" s="20"/>
    </row>
    <row r="854">
      <c r="G854" s="21"/>
      <c r="H854" s="21"/>
      <c r="AB854" s="20"/>
      <c r="AC854" s="20"/>
    </row>
    <row r="855">
      <c r="G855" s="21"/>
      <c r="H855" s="21"/>
      <c r="AB855" s="20"/>
      <c r="AC855" s="20"/>
    </row>
    <row r="856">
      <c r="G856" s="21"/>
      <c r="H856" s="21"/>
      <c r="AB856" s="20"/>
      <c r="AC856" s="20"/>
    </row>
    <row r="857">
      <c r="G857" s="21"/>
      <c r="H857" s="21"/>
      <c r="AB857" s="20"/>
      <c r="AC857" s="20"/>
    </row>
    <row r="858">
      <c r="G858" s="21"/>
      <c r="H858" s="21"/>
      <c r="AB858" s="20"/>
      <c r="AC858" s="20"/>
    </row>
    <row r="859">
      <c r="G859" s="21"/>
      <c r="H859" s="21"/>
      <c r="AB859" s="20"/>
      <c r="AC859" s="20"/>
    </row>
    <row r="860">
      <c r="G860" s="21"/>
      <c r="H860" s="21"/>
      <c r="AB860" s="20"/>
      <c r="AC860" s="20"/>
    </row>
    <row r="861">
      <c r="G861" s="21"/>
      <c r="H861" s="21"/>
      <c r="AB861" s="20"/>
      <c r="AC861" s="20"/>
    </row>
    <row r="862">
      <c r="G862" s="21"/>
      <c r="H862" s="21"/>
      <c r="AB862" s="20"/>
      <c r="AC862" s="20"/>
    </row>
    <row r="863">
      <c r="G863" s="21"/>
      <c r="H863" s="21"/>
      <c r="AB863" s="20"/>
      <c r="AC863" s="20"/>
    </row>
    <row r="864">
      <c r="G864" s="21"/>
      <c r="H864" s="21"/>
      <c r="AB864" s="20"/>
      <c r="AC864" s="20"/>
    </row>
    <row r="865">
      <c r="G865" s="21"/>
      <c r="H865" s="21"/>
      <c r="AB865" s="20"/>
      <c r="AC865" s="20"/>
    </row>
    <row r="866">
      <c r="G866" s="21"/>
      <c r="H866" s="21"/>
      <c r="AB866" s="20"/>
      <c r="AC866" s="20"/>
    </row>
    <row r="867">
      <c r="G867" s="21"/>
      <c r="H867" s="21"/>
      <c r="AB867" s="20"/>
      <c r="AC867" s="20"/>
    </row>
    <row r="868">
      <c r="G868" s="21"/>
      <c r="H868" s="21"/>
      <c r="AB868" s="20"/>
      <c r="AC868" s="20"/>
    </row>
    <row r="869">
      <c r="G869" s="21"/>
      <c r="H869" s="21"/>
      <c r="AB869" s="20"/>
      <c r="AC869" s="20"/>
    </row>
    <row r="870">
      <c r="G870" s="21"/>
      <c r="H870" s="21"/>
      <c r="AB870" s="20"/>
      <c r="AC870" s="20"/>
    </row>
    <row r="871">
      <c r="G871" s="21"/>
      <c r="H871" s="21"/>
      <c r="AB871" s="20"/>
      <c r="AC871" s="20"/>
    </row>
    <row r="872">
      <c r="G872" s="21"/>
      <c r="H872" s="21"/>
      <c r="AB872" s="20"/>
      <c r="AC872" s="20"/>
    </row>
    <row r="873">
      <c r="G873" s="21"/>
      <c r="H873" s="21"/>
      <c r="AB873" s="20"/>
      <c r="AC873" s="20"/>
    </row>
    <row r="874">
      <c r="G874" s="21"/>
      <c r="H874" s="21"/>
      <c r="AB874" s="20"/>
      <c r="AC874" s="20"/>
    </row>
    <row r="875">
      <c r="G875" s="21"/>
      <c r="H875" s="21"/>
      <c r="AB875" s="20"/>
      <c r="AC875" s="20"/>
    </row>
    <row r="876">
      <c r="G876" s="21"/>
      <c r="H876" s="21"/>
      <c r="AB876" s="20"/>
      <c r="AC876" s="20"/>
    </row>
    <row r="877">
      <c r="G877" s="21"/>
      <c r="H877" s="21"/>
      <c r="AB877" s="20"/>
      <c r="AC877" s="20"/>
    </row>
    <row r="878">
      <c r="G878" s="21"/>
      <c r="H878" s="21"/>
      <c r="AB878" s="20"/>
      <c r="AC878" s="20"/>
    </row>
    <row r="879">
      <c r="G879" s="21"/>
      <c r="H879" s="21"/>
      <c r="AB879" s="20"/>
      <c r="AC879" s="20"/>
    </row>
    <row r="880">
      <c r="G880" s="21"/>
      <c r="H880" s="21"/>
      <c r="AB880" s="20"/>
      <c r="AC880" s="20"/>
    </row>
    <row r="881">
      <c r="G881" s="21"/>
      <c r="H881" s="21"/>
      <c r="AB881" s="20"/>
      <c r="AC881" s="20"/>
    </row>
    <row r="882">
      <c r="G882" s="21"/>
      <c r="H882" s="21"/>
      <c r="AB882" s="20"/>
      <c r="AC882" s="20"/>
    </row>
    <row r="883">
      <c r="G883" s="21"/>
      <c r="H883" s="21"/>
      <c r="AB883" s="20"/>
      <c r="AC883" s="20"/>
    </row>
    <row r="884">
      <c r="G884" s="21"/>
      <c r="H884" s="21"/>
      <c r="AB884" s="20"/>
      <c r="AC884" s="20"/>
    </row>
    <row r="885">
      <c r="G885" s="21"/>
      <c r="H885" s="21"/>
      <c r="AB885" s="20"/>
      <c r="AC885" s="20"/>
    </row>
    <row r="886">
      <c r="G886" s="21"/>
      <c r="H886" s="21"/>
      <c r="AB886" s="20"/>
      <c r="AC886" s="20"/>
    </row>
    <row r="887">
      <c r="G887" s="21"/>
      <c r="H887" s="21"/>
      <c r="AB887" s="20"/>
      <c r="AC887" s="20"/>
    </row>
    <row r="888">
      <c r="G888" s="21"/>
      <c r="H888" s="21"/>
      <c r="AB888" s="20"/>
      <c r="AC888" s="20"/>
    </row>
    <row r="889">
      <c r="G889" s="21"/>
      <c r="H889" s="21"/>
      <c r="AB889" s="20"/>
      <c r="AC889" s="20"/>
    </row>
    <row r="890">
      <c r="G890" s="21"/>
      <c r="H890" s="21"/>
      <c r="AB890" s="20"/>
      <c r="AC890" s="20"/>
    </row>
    <row r="891">
      <c r="G891" s="21"/>
      <c r="H891" s="21"/>
      <c r="AB891" s="20"/>
      <c r="AC891" s="20"/>
    </row>
    <row r="892">
      <c r="G892" s="21"/>
      <c r="H892" s="21"/>
      <c r="AB892" s="20"/>
      <c r="AC892" s="20"/>
    </row>
    <row r="893">
      <c r="G893" s="21"/>
      <c r="H893" s="21"/>
      <c r="AB893" s="20"/>
      <c r="AC893" s="20"/>
    </row>
    <row r="894">
      <c r="G894" s="21"/>
      <c r="H894" s="21"/>
      <c r="AB894" s="20"/>
      <c r="AC894" s="20"/>
    </row>
    <row r="895">
      <c r="G895" s="21"/>
      <c r="H895" s="21"/>
      <c r="AB895" s="20"/>
      <c r="AC895" s="20"/>
    </row>
    <row r="896">
      <c r="G896" s="21"/>
      <c r="H896" s="21"/>
      <c r="AB896" s="20"/>
      <c r="AC896" s="20"/>
    </row>
    <row r="897">
      <c r="G897" s="21"/>
      <c r="H897" s="21"/>
      <c r="AB897" s="20"/>
      <c r="AC897" s="20"/>
    </row>
    <row r="898">
      <c r="G898" s="21"/>
      <c r="H898" s="21"/>
      <c r="AB898" s="20"/>
      <c r="AC898" s="20"/>
    </row>
    <row r="899">
      <c r="G899" s="21"/>
      <c r="H899" s="21"/>
      <c r="AB899" s="20"/>
      <c r="AC899" s="20"/>
    </row>
    <row r="900">
      <c r="G900" s="21"/>
      <c r="H900" s="21"/>
      <c r="AB900" s="20"/>
      <c r="AC900" s="20"/>
    </row>
    <row r="901">
      <c r="G901" s="21"/>
      <c r="H901" s="21"/>
      <c r="AB901" s="20"/>
      <c r="AC901" s="20"/>
    </row>
    <row r="902">
      <c r="G902" s="21"/>
      <c r="H902" s="21"/>
      <c r="AB902" s="20"/>
      <c r="AC902" s="20"/>
    </row>
    <row r="903">
      <c r="G903" s="21"/>
      <c r="H903" s="21"/>
      <c r="AB903" s="20"/>
      <c r="AC903" s="20"/>
    </row>
    <row r="904">
      <c r="G904" s="21"/>
      <c r="H904" s="21"/>
      <c r="AB904" s="20"/>
      <c r="AC904" s="20"/>
    </row>
    <row r="905">
      <c r="G905" s="21"/>
      <c r="H905" s="21"/>
      <c r="AB905" s="20"/>
      <c r="AC905" s="20"/>
    </row>
    <row r="906">
      <c r="G906" s="21"/>
      <c r="H906" s="21"/>
      <c r="AB906" s="20"/>
      <c r="AC906" s="20"/>
    </row>
    <row r="907">
      <c r="G907" s="21"/>
      <c r="H907" s="21"/>
      <c r="AB907" s="20"/>
      <c r="AC907" s="20"/>
    </row>
    <row r="908">
      <c r="G908" s="21"/>
      <c r="H908" s="21"/>
      <c r="AB908" s="20"/>
      <c r="AC908" s="20"/>
    </row>
    <row r="909">
      <c r="G909" s="21"/>
      <c r="H909" s="21"/>
      <c r="AB909" s="20"/>
      <c r="AC909" s="20"/>
    </row>
    <row r="910">
      <c r="G910" s="21"/>
      <c r="H910" s="21"/>
      <c r="AB910" s="20"/>
      <c r="AC910" s="20"/>
    </row>
    <row r="911">
      <c r="G911" s="21"/>
      <c r="H911" s="21"/>
      <c r="AB911" s="20"/>
      <c r="AC911" s="20"/>
    </row>
    <row r="912">
      <c r="G912" s="21"/>
      <c r="H912" s="21"/>
      <c r="AB912" s="20"/>
      <c r="AC912" s="20"/>
    </row>
    <row r="913">
      <c r="G913" s="21"/>
      <c r="H913" s="21"/>
      <c r="AB913" s="20"/>
      <c r="AC913" s="20"/>
    </row>
    <row r="914">
      <c r="G914" s="21"/>
      <c r="H914" s="21"/>
      <c r="AB914" s="20"/>
      <c r="AC914" s="20"/>
    </row>
    <row r="915">
      <c r="G915" s="21"/>
      <c r="H915" s="21"/>
      <c r="AB915" s="20"/>
      <c r="AC915" s="20"/>
    </row>
    <row r="916">
      <c r="G916" s="21"/>
      <c r="H916" s="21"/>
      <c r="AB916" s="20"/>
      <c r="AC916" s="20"/>
    </row>
    <row r="917">
      <c r="G917" s="21"/>
      <c r="H917" s="21"/>
      <c r="AB917" s="20"/>
      <c r="AC917" s="20"/>
    </row>
    <row r="918">
      <c r="G918" s="21"/>
      <c r="H918" s="21"/>
      <c r="AB918" s="20"/>
      <c r="AC918" s="20"/>
    </row>
    <row r="919">
      <c r="G919" s="21"/>
      <c r="H919" s="21"/>
      <c r="AB919" s="20"/>
      <c r="AC919" s="20"/>
    </row>
    <row r="920">
      <c r="G920" s="21"/>
      <c r="H920" s="21"/>
      <c r="AB920" s="20"/>
      <c r="AC920" s="20"/>
    </row>
    <row r="921">
      <c r="G921" s="21"/>
      <c r="H921" s="21"/>
      <c r="AB921" s="20"/>
      <c r="AC921" s="20"/>
    </row>
    <row r="922">
      <c r="G922" s="21"/>
      <c r="H922" s="21"/>
      <c r="AB922" s="20"/>
      <c r="AC922" s="20"/>
    </row>
    <row r="923">
      <c r="G923" s="21"/>
      <c r="H923" s="21"/>
      <c r="AB923" s="20"/>
      <c r="AC923" s="20"/>
    </row>
    <row r="924">
      <c r="G924" s="21"/>
      <c r="H924" s="21"/>
      <c r="AB924" s="20"/>
      <c r="AC924" s="20"/>
    </row>
    <row r="925">
      <c r="G925" s="21"/>
      <c r="H925" s="21"/>
      <c r="AB925" s="20"/>
      <c r="AC925" s="20"/>
    </row>
    <row r="926">
      <c r="G926" s="21"/>
      <c r="H926" s="21"/>
      <c r="AB926" s="20"/>
      <c r="AC926" s="20"/>
    </row>
    <row r="927">
      <c r="G927" s="21"/>
      <c r="H927" s="21"/>
      <c r="AB927" s="20"/>
      <c r="AC927" s="20"/>
    </row>
    <row r="928">
      <c r="G928" s="21"/>
      <c r="H928" s="21"/>
      <c r="AB928" s="20"/>
      <c r="AC928" s="20"/>
    </row>
    <row r="929">
      <c r="G929" s="21"/>
      <c r="H929" s="21"/>
      <c r="AB929" s="20"/>
      <c r="AC929" s="20"/>
    </row>
    <row r="930">
      <c r="G930" s="21"/>
      <c r="H930" s="21"/>
      <c r="AB930" s="20"/>
      <c r="AC930" s="20"/>
    </row>
    <row r="931">
      <c r="G931" s="21"/>
      <c r="H931" s="21"/>
      <c r="AB931" s="20"/>
      <c r="AC931" s="20"/>
    </row>
    <row r="932">
      <c r="G932" s="21"/>
      <c r="H932" s="21"/>
      <c r="AB932" s="20"/>
      <c r="AC932" s="20"/>
    </row>
    <row r="933">
      <c r="G933" s="21"/>
      <c r="H933" s="21"/>
      <c r="AB933" s="20"/>
      <c r="AC933" s="20"/>
    </row>
    <row r="934">
      <c r="G934" s="21"/>
      <c r="H934" s="21"/>
      <c r="AB934" s="20"/>
      <c r="AC934" s="20"/>
    </row>
    <row r="935">
      <c r="G935" s="21"/>
      <c r="H935" s="21"/>
      <c r="AB935" s="20"/>
      <c r="AC935" s="20"/>
    </row>
    <row r="936">
      <c r="G936" s="21"/>
      <c r="H936" s="21"/>
      <c r="AB936" s="20"/>
      <c r="AC936" s="20"/>
    </row>
    <row r="937">
      <c r="G937" s="21"/>
      <c r="H937" s="21"/>
      <c r="AB937" s="20"/>
      <c r="AC937" s="20"/>
    </row>
    <row r="938">
      <c r="G938" s="21"/>
      <c r="H938" s="21"/>
      <c r="AB938" s="20"/>
      <c r="AC938" s="20"/>
    </row>
    <row r="939">
      <c r="G939" s="21"/>
      <c r="H939" s="21"/>
      <c r="AB939" s="20"/>
      <c r="AC939" s="20"/>
    </row>
    <row r="940">
      <c r="G940" s="21"/>
      <c r="H940" s="21"/>
      <c r="AB940" s="20"/>
      <c r="AC940" s="20"/>
    </row>
    <row r="941">
      <c r="G941" s="21"/>
      <c r="H941" s="21"/>
      <c r="AB941" s="20"/>
      <c r="AC941" s="20"/>
    </row>
    <row r="942">
      <c r="G942" s="21"/>
      <c r="H942" s="21"/>
      <c r="AB942" s="20"/>
      <c r="AC942" s="20"/>
    </row>
    <row r="943">
      <c r="G943" s="21"/>
      <c r="H943" s="21"/>
      <c r="AB943" s="20"/>
      <c r="AC943" s="20"/>
    </row>
    <row r="944">
      <c r="G944" s="21"/>
      <c r="H944" s="21"/>
      <c r="AB944" s="20"/>
      <c r="AC944" s="20"/>
    </row>
    <row r="945">
      <c r="G945" s="21"/>
      <c r="H945" s="21"/>
      <c r="AB945" s="20"/>
      <c r="AC945" s="20"/>
    </row>
    <row r="946">
      <c r="G946" s="21"/>
      <c r="H946" s="21"/>
      <c r="AB946" s="20"/>
      <c r="AC946" s="20"/>
    </row>
    <row r="947">
      <c r="G947" s="21"/>
      <c r="H947" s="21"/>
      <c r="AB947" s="20"/>
      <c r="AC947" s="20"/>
    </row>
    <row r="948">
      <c r="G948" s="21"/>
      <c r="H948" s="21"/>
      <c r="AB948" s="20"/>
      <c r="AC948" s="20"/>
    </row>
    <row r="949">
      <c r="G949" s="21"/>
      <c r="H949" s="21"/>
      <c r="AB949" s="20"/>
      <c r="AC949" s="20"/>
    </row>
    <row r="950">
      <c r="G950" s="21"/>
      <c r="H950" s="21"/>
      <c r="AB950" s="20"/>
      <c r="AC950" s="20"/>
    </row>
    <row r="951">
      <c r="G951" s="21"/>
      <c r="H951" s="21"/>
      <c r="AB951" s="20"/>
      <c r="AC951" s="20"/>
    </row>
    <row r="952">
      <c r="G952" s="21"/>
      <c r="H952" s="21"/>
      <c r="AB952" s="20"/>
      <c r="AC952" s="20"/>
    </row>
    <row r="953">
      <c r="G953" s="21"/>
      <c r="H953" s="21"/>
      <c r="AB953" s="20"/>
      <c r="AC953" s="20"/>
    </row>
    <row r="954">
      <c r="G954" s="21"/>
      <c r="H954" s="21"/>
      <c r="AB954" s="20"/>
      <c r="AC954" s="20"/>
    </row>
    <row r="955">
      <c r="G955" s="21"/>
      <c r="H955" s="21"/>
      <c r="AB955" s="20"/>
      <c r="AC955" s="20"/>
    </row>
    <row r="956">
      <c r="G956" s="21"/>
      <c r="H956" s="21"/>
      <c r="AB956" s="20"/>
      <c r="AC956" s="20"/>
    </row>
    <row r="957">
      <c r="G957" s="21"/>
      <c r="H957" s="21"/>
      <c r="AB957" s="20"/>
      <c r="AC957" s="20"/>
    </row>
    <row r="958">
      <c r="G958" s="21"/>
      <c r="H958" s="21"/>
      <c r="AB958" s="20"/>
      <c r="AC958" s="20"/>
    </row>
    <row r="959">
      <c r="G959" s="21"/>
      <c r="H959" s="21"/>
      <c r="AB959" s="20"/>
      <c r="AC959" s="20"/>
    </row>
    <row r="960">
      <c r="G960" s="21"/>
      <c r="H960" s="21"/>
      <c r="AB960" s="20"/>
      <c r="AC960" s="20"/>
    </row>
    <row r="961">
      <c r="G961" s="21"/>
      <c r="H961" s="21"/>
      <c r="AB961" s="20"/>
      <c r="AC961" s="20"/>
    </row>
    <row r="962">
      <c r="G962" s="21"/>
      <c r="H962" s="21"/>
      <c r="AB962" s="20"/>
      <c r="AC962" s="20"/>
    </row>
    <row r="963">
      <c r="G963" s="21"/>
      <c r="H963" s="21"/>
      <c r="AB963" s="20"/>
      <c r="AC963" s="20"/>
    </row>
    <row r="964">
      <c r="G964" s="21"/>
      <c r="H964" s="21"/>
      <c r="AB964" s="20"/>
      <c r="AC964" s="20"/>
    </row>
    <row r="965">
      <c r="G965" s="21"/>
      <c r="H965" s="21"/>
      <c r="AB965" s="20"/>
      <c r="AC965" s="20"/>
    </row>
    <row r="966">
      <c r="G966" s="21"/>
      <c r="H966" s="21"/>
      <c r="AB966" s="20"/>
      <c r="AC966" s="20"/>
    </row>
    <row r="967">
      <c r="G967" s="21"/>
      <c r="H967" s="21"/>
      <c r="AB967" s="20"/>
      <c r="AC967" s="20"/>
    </row>
    <row r="968">
      <c r="G968" s="21"/>
      <c r="H968" s="21"/>
      <c r="AB968" s="20"/>
      <c r="AC968" s="20"/>
    </row>
    <row r="969">
      <c r="G969" s="21"/>
      <c r="H969" s="21"/>
      <c r="AB969" s="20"/>
      <c r="AC969" s="20"/>
    </row>
    <row r="970">
      <c r="G970" s="21"/>
      <c r="H970" s="21"/>
      <c r="AB970" s="20"/>
      <c r="AC970" s="20"/>
    </row>
    <row r="971">
      <c r="G971" s="21"/>
      <c r="H971" s="21"/>
      <c r="AB971" s="20"/>
      <c r="AC971" s="20"/>
    </row>
    <row r="972">
      <c r="G972" s="21"/>
      <c r="H972" s="21"/>
      <c r="AB972" s="20"/>
      <c r="AC972" s="20"/>
    </row>
    <row r="973">
      <c r="G973" s="21"/>
      <c r="H973" s="21"/>
      <c r="AB973" s="20"/>
      <c r="AC973" s="20"/>
    </row>
    <row r="974">
      <c r="G974" s="21"/>
      <c r="H974" s="21"/>
      <c r="AB974" s="20"/>
      <c r="AC974" s="20"/>
    </row>
    <row r="975">
      <c r="G975" s="21"/>
      <c r="H975" s="21"/>
      <c r="AB975" s="20"/>
      <c r="AC975" s="20"/>
    </row>
    <row r="976">
      <c r="G976" s="21"/>
      <c r="H976" s="21"/>
      <c r="AB976" s="20"/>
      <c r="AC976" s="20"/>
    </row>
    <row r="977">
      <c r="G977" s="21"/>
      <c r="H977" s="21"/>
      <c r="AB977" s="20"/>
      <c r="AC977" s="20"/>
    </row>
    <row r="978">
      <c r="G978" s="21"/>
      <c r="H978" s="21"/>
      <c r="AB978" s="20"/>
      <c r="AC978" s="20"/>
    </row>
    <row r="979">
      <c r="G979" s="21"/>
      <c r="H979" s="21"/>
      <c r="AB979" s="20"/>
      <c r="AC979" s="20"/>
    </row>
    <row r="980">
      <c r="G980" s="21"/>
      <c r="H980" s="21"/>
      <c r="AB980" s="20"/>
      <c r="AC980" s="20"/>
    </row>
    <row r="981">
      <c r="G981" s="21"/>
      <c r="H981" s="21"/>
      <c r="AB981" s="20"/>
      <c r="AC981" s="20"/>
    </row>
    <row r="982">
      <c r="G982" s="21"/>
      <c r="H982" s="21"/>
      <c r="AB982" s="20"/>
      <c r="AC982" s="20"/>
    </row>
    <row r="983">
      <c r="G983" s="21"/>
      <c r="H983" s="21"/>
      <c r="AB983" s="20"/>
      <c r="AC983" s="20"/>
    </row>
    <row r="984">
      <c r="G984" s="21"/>
      <c r="H984" s="21"/>
      <c r="AB984" s="20"/>
      <c r="AC984" s="20"/>
    </row>
    <row r="985">
      <c r="G985" s="21"/>
      <c r="H985" s="21"/>
      <c r="AB985" s="20"/>
      <c r="AC985" s="20"/>
    </row>
    <row r="986">
      <c r="G986" s="21"/>
      <c r="H986" s="21"/>
      <c r="AB986" s="20"/>
      <c r="AC986" s="20"/>
    </row>
    <row r="987">
      <c r="G987" s="21"/>
      <c r="H987" s="21"/>
      <c r="AB987" s="20"/>
      <c r="AC987" s="20"/>
    </row>
    <row r="988">
      <c r="G988" s="21"/>
      <c r="H988" s="21"/>
      <c r="AB988" s="20"/>
      <c r="AC988" s="20"/>
    </row>
    <row r="989">
      <c r="G989" s="21"/>
      <c r="H989" s="21"/>
      <c r="AB989" s="20"/>
      <c r="AC989" s="20"/>
    </row>
    <row r="990">
      <c r="G990" s="21"/>
      <c r="H990" s="21"/>
      <c r="AB990" s="20"/>
      <c r="AC990" s="20"/>
    </row>
    <row r="991">
      <c r="G991" s="21"/>
      <c r="H991" s="21"/>
      <c r="AB991" s="20"/>
      <c r="AC991" s="20"/>
    </row>
    <row r="992">
      <c r="G992" s="21"/>
      <c r="H992" s="21"/>
      <c r="AB992" s="20"/>
      <c r="AC992" s="20"/>
    </row>
    <row r="993">
      <c r="G993" s="21"/>
      <c r="H993" s="21"/>
      <c r="AB993" s="20"/>
      <c r="AC993" s="20"/>
    </row>
    <row r="994">
      <c r="G994" s="21"/>
      <c r="H994" s="21"/>
      <c r="AB994" s="20"/>
      <c r="AC994" s="20"/>
    </row>
    <row r="995">
      <c r="G995" s="21"/>
      <c r="H995" s="21"/>
      <c r="AB995" s="20"/>
      <c r="AC995" s="20"/>
    </row>
    <row r="996">
      <c r="G996" s="21"/>
      <c r="H996" s="21"/>
      <c r="AB996" s="20"/>
      <c r="AC996" s="20"/>
    </row>
    <row r="997">
      <c r="G997" s="21"/>
      <c r="H997" s="21"/>
      <c r="AB997" s="20"/>
      <c r="AC997" s="20"/>
    </row>
    <row r="998">
      <c r="G998" s="21"/>
      <c r="H998" s="21"/>
      <c r="AB998" s="20"/>
      <c r="AC998" s="20"/>
    </row>
    <row r="999">
      <c r="G999" s="21"/>
      <c r="H999" s="21"/>
      <c r="AB999" s="20"/>
      <c r="AC999" s="20"/>
    </row>
    <row r="1000">
      <c r="G1000" s="21"/>
      <c r="H1000" s="21"/>
      <c r="AB1000" s="20"/>
      <c r="AC1000" s="20"/>
    </row>
    <row r="1001">
      <c r="G1001" s="21"/>
      <c r="H1001" s="21"/>
      <c r="AB1001" s="20"/>
      <c r="AC1001" s="20"/>
    </row>
    <row r="1002">
      <c r="G1002" s="21"/>
      <c r="H1002" s="21"/>
      <c r="AB1002" s="20"/>
      <c r="AC1002" s="20"/>
    </row>
    <row r="1003">
      <c r="G1003" s="21"/>
      <c r="H1003" s="21"/>
      <c r="AB1003" s="20"/>
      <c r="AC1003" s="20"/>
    </row>
    <row r="1004">
      <c r="G1004" s="21"/>
      <c r="H1004" s="21"/>
      <c r="AB1004" s="20"/>
      <c r="AC1004" s="20"/>
    </row>
    <row r="1005">
      <c r="G1005" s="21"/>
      <c r="H1005" s="21"/>
      <c r="AB1005" s="20"/>
      <c r="AC1005" s="20"/>
    </row>
    <row r="1006">
      <c r="G1006" s="21"/>
      <c r="H1006" s="21"/>
      <c r="AB1006" s="20"/>
      <c r="AC1006" s="20"/>
    </row>
    <row r="1007">
      <c r="G1007" s="21"/>
      <c r="H1007" s="21"/>
      <c r="AB1007" s="20"/>
      <c r="AC1007" s="20"/>
    </row>
    <row r="1008">
      <c r="G1008" s="21"/>
      <c r="H1008" s="21"/>
      <c r="AB1008" s="20"/>
      <c r="AC1008" s="20"/>
    </row>
    <row r="1009">
      <c r="G1009" s="21"/>
      <c r="H1009" s="21"/>
      <c r="AB1009" s="20"/>
      <c r="AC1009" s="20"/>
    </row>
    <row r="1010">
      <c r="G1010" s="21"/>
      <c r="H1010" s="21"/>
      <c r="AB1010" s="20"/>
      <c r="AC1010" s="20"/>
    </row>
    <row r="1011">
      <c r="G1011" s="21"/>
      <c r="H1011" s="21"/>
      <c r="AB1011" s="20"/>
      <c r="AC1011" s="20"/>
    </row>
  </sheetData>
  <conditionalFormatting sqref="B51:AC51">
    <cfRule type="cellIs" dxfId="0" priority="1" operator="greaterThan">
      <formula>"55%"</formula>
    </cfRule>
  </conditionalFormatting>
  <conditionalFormatting sqref="B55:AC55">
    <cfRule type="cellIs" dxfId="0" priority="2" operator="greaterThan">
      <formula>"10%"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70</v>
      </c>
      <c r="C1" s="1" t="s">
        <v>71</v>
      </c>
    </row>
    <row r="2">
      <c r="A2" s="1" t="s">
        <v>72</v>
      </c>
      <c r="B2" s="22">
        <v>88.72</v>
      </c>
      <c r="C2" s="8"/>
    </row>
    <row r="3">
      <c r="A3" s="1" t="s">
        <v>73</v>
      </c>
      <c r="B3" s="22">
        <v>1065.95</v>
      </c>
      <c r="C3" s="22">
        <v>22297.21</v>
      </c>
    </row>
    <row r="4">
      <c r="A4" s="1" t="s">
        <v>74</v>
      </c>
      <c r="B4" s="22">
        <v>34353.86</v>
      </c>
      <c r="C4" s="8"/>
    </row>
    <row r="5">
      <c r="A5" s="1" t="s">
        <v>75</v>
      </c>
      <c r="B5" s="22">
        <v>0.0</v>
      </c>
      <c r="C5" s="22">
        <v>5151.0</v>
      </c>
    </row>
    <row r="6">
      <c r="A6" s="1" t="s">
        <v>76</v>
      </c>
      <c r="B6" s="22">
        <v>0.0</v>
      </c>
      <c r="C6" s="8"/>
    </row>
    <row r="7">
      <c r="A7" s="1" t="s">
        <v>77</v>
      </c>
      <c r="B7" s="8">
        <f>IFERROR(__xludf.DUMMYFUNCTION("GOOGLEFINANCE(""currency:EURBRL"")*492.99"),2906.78489265)</f>
        <v>2906.784893</v>
      </c>
      <c r="C7" s="8"/>
    </row>
    <row r="8">
      <c r="A8" s="1" t="s">
        <v>78</v>
      </c>
      <c r="B8" s="8">
        <f>IFERROR(__xludf.DUMMYFUNCTION("GOOGLEFINANCE(""CURRENCY:USDBRL"")*610"),3072.631)</f>
        <v>3072.631</v>
      </c>
      <c r="C8" s="8"/>
    </row>
    <row r="9">
      <c r="A9" s="1" t="s">
        <v>79</v>
      </c>
      <c r="B9" s="22">
        <v>16859.02</v>
      </c>
      <c r="C9" s="8"/>
    </row>
    <row r="10">
      <c r="A10" s="1" t="s">
        <v>80</v>
      </c>
      <c r="B10" s="22">
        <v>38562.6</v>
      </c>
      <c r="C10" s="8"/>
    </row>
    <row r="11">
      <c r="A11" s="1" t="s">
        <v>81</v>
      </c>
      <c r="B11" s="22">
        <v>0.0</v>
      </c>
      <c r="C11" s="8"/>
    </row>
    <row r="13">
      <c r="A13" s="1" t="s">
        <v>82</v>
      </c>
      <c r="B13" s="8">
        <f>SUM(B2:B11,C2:C11)</f>
        <v>124357.7759</v>
      </c>
    </row>
    <row r="16">
      <c r="B16" s="14">
        <f>2986.85+1000</f>
        <v>3986.85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14.63"/>
    <col customWidth="1" min="5" max="5" width="16.38"/>
  </cols>
  <sheetData>
    <row r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901.84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104</v>
      </c>
      <c r="B4" s="1">
        <v>5.0</v>
      </c>
      <c r="C4" s="37">
        <v>0.0</v>
      </c>
      <c r="D4" s="1" t="s">
        <v>96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>
      <c r="A5" s="2" t="s">
        <v>106</v>
      </c>
      <c r="B5" s="2">
        <v>14.0</v>
      </c>
      <c r="C5" s="40">
        <v>145.27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129.96</v>
      </c>
      <c r="D6" s="1" t="s">
        <v>112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113</v>
      </c>
      <c r="B7" s="1">
        <v>25.0</v>
      </c>
      <c r="C7" s="37">
        <v>106.9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5.0</v>
      </c>
      <c r="C10" s="37">
        <v>0.0</v>
      </c>
      <c r="D10" s="1" t="s">
        <v>96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19.9</v>
      </c>
      <c r="D11" s="1" t="s">
        <v>96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0.0</v>
      </c>
      <c r="D12" s="1" t="s">
        <v>120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96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309.73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  <c r="N16" s="42">
        <v>45992.0</v>
      </c>
    </row>
    <row r="17">
      <c r="A17" s="1" t="s">
        <v>130</v>
      </c>
      <c r="B17" s="1">
        <v>27.0</v>
      </c>
      <c r="C17" s="37">
        <f>89.9+139.9</f>
        <v>229.8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10.0</v>
      </c>
      <c r="C18" s="37">
        <v>20.0</v>
      </c>
      <c r="D18" s="1" t="s">
        <v>112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45</v>
      </c>
      <c r="B19" s="1">
        <v>8.0</v>
      </c>
      <c r="C19" s="1">
        <v>500.0</v>
      </c>
      <c r="D19" s="1" t="s">
        <v>96</v>
      </c>
      <c r="E19" s="1" t="s">
        <v>132</v>
      </c>
      <c r="G19" s="1" t="s">
        <v>98</v>
      </c>
      <c r="H19" s="1" t="s">
        <v>109</v>
      </c>
      <c r="J19" s="1" t="s">
        <v>45</v>
      </c>
      <c r="M19" s="38"/>
    </row>
    <row r="20">
      <c r="B20" s="1">
        <v>15.0</v>
      </c>
      <c r="D20" s="1" t="s">
        <v>96</v>
      </c>
      <c r="E20" s="1" t="s">
        <v>132</v>
      </c>
      <c r="G20" s="1" t="s">
        <v>98</v>
      </c>
      <c r="H20" s="1" t="s">
        <v>109</v>
      </c>
      <c r="J20" s="1" t="s">
        <v>16</v>
      </c>
      <c r="M20" s="38"/>
    </row>
    <row r="21">
      <c r="B21" s="1">
        <v>6.0</v>
      </c>
      <c r="D21" s="1" t="s">
        <v>112</v>
      </c>
      <c r="E21" s="1" t="s">
        <v>133</v>
      </c>
      <c r="G21" s="1" t="s">
        <v>98</v>
      </c>
      <c r="H21" s="1" t="s">
        <v>109</v>
      </c>
      <c r="J21" s="1" t="s">
        <v>48</v>
      </c>
      <c r="M21" s="38"/>
    </row>
    <row r="22">
      <c r="A22" s="1" t="s">
        <v>134</v>
      </c>
      <c r="B22" s="1">
        <v>17.0</v>
      </c>
      <c r="C22" s="1">
        <v>777.56</v>
      </c>
      <c r="D22" s="1" t="s">
        <v>112</v>
      </c>
      <c r="E22" s="1" t="s">
        <v>133</v>
      </c>
      <c r="G22" s="1" t="s">
        <v>98</v>
      </c>
      <c r="H22" s="1" t="s">
        <v>109</v>
      </c>
      <c r="J22" s="1" t="s">
        <v>46</v>
      </c>
      <c r="M22" s="38"/>
    </row>
    <row r="23">
      <c r="A23" s="1" t="s">
        <v>135</v>
      </c>
      <c r="B23" s="1">
        <v>10.0</v>
      </c>
      <c r="C23" s="1">
        <v>60.0</v>
      </c>
      <c r="D23" s="1" t="s">
        <v>112</v>
      </c>
      <c r="E23" s="1" t="s">
        <v>132</v>
      </c>
      <c r="G23" s="1" t="s">
        <v>98</v>
      </c>
      <c r="H23" s="1" t="s">
        <v>109</v>
      </c>
      <c r="J23" s="1" t="s">
        <v>34</v>
      </c>
      <c r="K23" s="42"/>
      <c r="M23" s="38"/>
    </row>
    <row r="24">
      <c r="A24" s="1" t="s">
        <v>136</v>
      </c>
      <c r="B24" s="1">
        <v>0.0</v>
      </c>
      <c r="C24" s="22">
        <v>138.74</v>
      </c>
      <c r="D24" s="1" t="s">
        <v>96</v>
      </c>
      <c r="E24" s="1" t="s">
        <v>132</v>
      </c>
      <c r="G24" s="1" t="s">
        <v>98</v>
      </c>
      <c r="H24" s="1" t="s">
        <v>109</v>
      </c>
      <c r="J24" s="1" t="s">
        <v>18</v>
      </c>
      <c r="M24" s="38"/>
      <c r="N24" s="42">
        <v>45324.0</v>
      </c>
    </row>
    <row r="25">
      <c r="A25" s="1" t="s">
        <v>137</v>
      </c>
      <c r="B25" s="1">
        <v>0.0</v>
      </c>
      <c r="C25" s="22">
        <v>24.0</v>
      </c>
      <c r="D25" s="1" t="s">
        <v>96</v>
      </c>
      <c r="E25" s="1" t="s">
        <v>133</v>
      </c>
      <c r="G25" s="1" t="s">
        <v>98</v>
      </c>
      <c r="H25" s="1" t="s">
        <v>109</v>
      </c>
      <c r="J25" s="1" t="s">
        <v>24</v>
      </c>
      <c r="M25" s="38"/>
    </row>
    <row r="26">
      <c r="A26" s="1" t="s">
        <v>138</v>
      </c>
      <c r="B26" s="1">
        <v>0.0</v>
      </c>
      <c r="C26" s="22">
        <v>23.0</v>
      </c>
      <c r="D26" s="1" t="s">
        <v>96</v>
      </c>
      <c r="E26" s="1" t="s">
        <v>133</v>
      </c>
      <c r="G26" s="1" t="s">
        <v>98</v>
      </c>
      <c r="J26" s="1" t="s">
        <v>30</v>
      </c>
      <c r="M26" s="38"/>
      <c r="N26" s="42">
        <v>45354.0</v>
      </c>
    </row>
    <row r="27">
      <c r="A27" s="1" t="s">
        <v>139</v>
      </c>
      <c r="B27" s="1">
        <v>0.0</v>
      </c>
      <c r="C27" s="22">
        <v>47.38</v>
      </c>
      <c r="D27" s="1" t="s">
        <v>96</v>
      </c>
      <c r="E27" s="1" t="s">
        <v>133</v>
      </c>
      <c r="G27" s="1" t="s">
        <v>98</v>
      </c>
      <c r="H27" s="1" t="s">
        <v>109</v>
      </c>
      <c r="J27" s="1" t="s">
        <v>40</v>
      </c>
      <c r="M27" s="38"/>
    </row>
    <row r="28">
      <c r="A28" s="1" t="s">
        <v>140</v>
      </c>
      <c r="B28" s="1">
        <v>0.0</v>
      </c>
      <c r="C28" s="22">
        <v>56.0</v>
      </c>
      <c r="D28" s="1" t="s">
        <v>96</v>
      </c>
      <c r="E28" s="1" t="s">
        <v>133</v>
      </c>
      <c r="G28" s="1" t="s">
        <v>98</v>
      </c>
      <c r="J28" s="1" t="s">
        <v>39</v>
      </c>
      <c r="M28" s="38"/>
    </row>
    <row r="29">
      <c r="A29" s="1" t="s">
        <v>141</v>
      </c>
      <c r="B29" s="1">
        <v>0.0</v>
      </c>
      <c r="C29" s="22">
        <v>44.9</v>
      </c>
      <c r="D29" s="1" t="s">
        <v>96</v>
      </c>
      <c r="E29" s="1" t="s">
        <v>133</v>
      </c>
      <c r="G29" s="1" t="s">
        <v>98</v>
      </c>
      <c r="J29" s="1" t="s">
        <v>29</v>
      </c>
      <c r="M29" s="38"/>
      <c r="N29" s="42">
        <v>45872.0</v>
      </c>
    </row>
    <row r="30">
      <c r="A30" s="1" t="s">
        <v>142</v>
      </c>
      <c r="B30" s="1">
        <v>0.0</v>
      </c>
      <c r="C30" s="22">
        <v>7.0</v>
      </c>
      <c r="D30" s="1" t="s">
        <v>96</v>
      </c>
      <c r="E30" s="1" t="s">
        <v>133</v>
      </c>
      <c r="G30" s="1" t="s">
        <v>98</v>
      </c>
      <c r="J30" s="1" t="s">
        <v>32</v>
      </c>
      <c r="M30" s="38"/>
      <c r="N30" s="42">
        <v>45993.0</v>
      </c>
    </row>
    <row r="31">
      <c r="A31" s="1" t="s">
        <v>143</v>
      </c>
      <c r="B31" s="1">
        <v>0.0</v>
      </c>
      <c r="C31" s="22">
        <v>105.8</v>
      </c>
      <c r="D31" s="1" t="s">
        <v>96</v>
      </c>
      <c r="E31" s="1" t="s">
        <v>133</v>
      </c>
      <c r="G31" s="1" t="s">
        <v>118</v>
      </c>
      <c r="H31" s="1" t="s">
        <v>109</v>
      </c>
      <c r="J31" s="1" t="s">
        <v>29</v>
      </c>
      <c r="M31" s="38"/>
    </row>
    <row r="32">
      <c r="A32" s="1" t="s">
        <v>144</v>
      </c>
      <c r="B32" s="1">
        <v>0.0</v>
      </c>
      <c r="C32" s="22">
        <v>32.0</v>
      </c>
      <c r="D32" s="1" t="s">
        <v>96</v>
      </c>
      <c r="E32" s="1" t="s">
        <v>133</v>
      </c>
      <c r="G32" s="1" t="s">
        <v>98</v>
      </c>
      <c r="J32" s="1" t="s">
        <v>34</v>
      </c>
      <c r="M32" s="38"/>
    </row>
    <row r="33">
      <c r="A33" s="1" t="s">
        <v>39</v>
      </c>
      <c r="B33" s="1">
        <v>0.0</v>
      </c>
      <c r="C33" s="22">
        <v>4.0</v>
      </c>
      <c r="D33" s="1" t="s">
        <v>96</v>
      </c>
      <c r="E33" s="1" t="s">
        <v>133</v>
      </c>
      <c r="G33" s="1" t="s">
        <v>98</v>
      </c>
      <c r="J33" s="1" t="s">
        <v>25</v>
      </c>
      <c r="M33" s="38"/>
    </row>
    <row r="34">
      <c r="A34" s="1" t="s">
        <v>145</v>
      </c>
      <c r="B34" s="1">
        <v>0.0</v>
      </c>
      <c r="C34" s="22">
        <v>39.99</v>
      </c>
      <c r="D34" s="1" t="s">
        <v>96</v>
      </c>
      <c r="E34" s="1" t="s">
        <v>133</v>
      </c>
      <c r="G34" s="1" t="s">
        <v>98</v>
      </c>
      <c r="J34" s="1" t="s">
        <v>24</v>
      </c>
      <c r="M34" s="38"/>
    </row>
    <row r="35">
      <c r="A35" s="1" t="s">
        <v>146</v>
      </c>
      <c r="B35" s="1">
        <v>0.0</v>
      </c>
      <c r="C35" s="22">
        <v>24.9</v>
      </c>
      <c r="D35" s="1" t="s">
        <v>96</v>
      </c>
      <c r="E35" s="1" t="s">
        <v>133</v>
      </c>
      <c r="G35" s="1" t="s">
        <v>98</v>
      </c>
      <c r="J35" s="1" t="s">
        <v>24</v>
      </c>
      <c r="M35" s="38"/>
    </row>
    <row r="36">
      <c r="A36" s="1" t="s">
        <v>147</v>
      </c>
      <c r="B36" s="1">
        <v>0.0</v>
      </c>
      <c r="C36" s="22">
        <v>79.98</v>
      </c>
      <c r="D36" s="1" t="s">
        <v>96</v>
      </c>
      <c r="E36" s="1" t="s">
        <v>133</v>
      </c>
      <c r="G36" s="1" t="s">
        <v>98</v>
      </c>
      <c r="J36" s="1" t="s">
        <v>18</v>
      </c>
      <c r="M36" s="38"/>
    </row>
    <row r="37">
      <c r="A37" s="1" t="s">
        <v>148</v>
      </c>
      <c r="B37" s="1">
        <v>0.0</v>
      </c>
      <c r="C37" s="22">
        <v>310.0</v>
      </c>
      <c r="D37" s="1" t="s">
        <v>96</v>
      </c>
      <c r="E37" s="1" t="s">
        <v>133</v>
      </c>
      <c r="G37" s="1" t="s">
        <v>98</v>
      </c>
      <c r="J37" s="1" t="s">
        <v>29</v>
      </c>
      <c r="M37" s="38"/>
    </row>
    <row r="38">
      <c r="A38" s="1" t="s">
        <v>149</v>
      </c>
      <c r="B38" s="1">
        <v>0.0</v>
      </c>
      <c r="C38" s="22">
        <v>9.0</v>
      </c>
      <c r="D38" s="1" t="s">
        <v>96</v>
      </c>
      <c r="E38" s="1" t="s">
        <v>133</v>
      </c>
      <c r="G38" s="1" t="s">
        <v>98</v>
      </c>
      <c r="J38" s="1" t="s">
        <v>39</v>
      </c>
      <c r="M38" s="36" t="s">
        <v>43</v>
      </c>
    </row>
    <row r="39">
      <c r="A39" s="1" t="s">
        <v>150</v>
      </c>
      <c r="B39" s="1">
        <v>0.0</v>
      </c>
      <c r="C39" s="22">
        <v>16.62</v>
      </c>
      <c r="D39" s="1" t="s">
        <v>96</v>
      </c>
      <c r="E39" s="1" t="s">
        <v>133</v>
      </c>
      <c r="G39" s="1" t="s">
        <v>98</v>
      </c>
      <c r="J39" s="1" t="s">
        <v>34</v>
      </c>
      <c r="M39" s="38"/>
    </row>
    <row r="40">
      <c r="A40" s="1" t="s">
        <v>151</v>
      </c>
      <c r="B40" s="1">
        <v>0.0</v>
      </c>
      <c r="C40" s="22">
        <v>7.0</v>
      </c>
      <c r="D40" s="1" t="s">
        <v>96</v>
      </c>
      <c r="E40" s="1" t="s">
        <v>133</v>
      </c>
      <c r="G40" s="1" t="s">
        <v>98</v>
      </c>
      <c r="J40" s="1" t="s">
        <v>32</v>
      </c>
      <c r="M40" s="38"/>
    </row>
    <row r="41">
      <c r="A41" s="1" t="s">
        <v>152</v>
      </c>
      <c r="B41" s="1">
        <v>0.0</v>
      </c>
      <c r="C41" s="22">
        <v>56.87</v>
      </c>
      <c r="D41" s="1" t="s">
        <v>96</v>
      </c>
      <c r="E41" s="1" t="s">
        <v>133</v>
      </c>
      <c r="G41" s="1" t="s">
        <v>98</v>
      </c>
      <c r="J41" s="1" t="s">
        <v>28</v>
      </c>
      <c r="M41" s="38"/>
    </row>
    <row r="42">
      <c r="A42" s="1" t="s">
        <v>141</v>
      </c>
      <c r="B42" s="1">
        <v>2.0</v>
      </c>
      <c r="C42" s="22">
        <v>77.8</v>
      </c>
      <c r="D42" s="1" t="s">
        <v>96</v>
      </c>
      <c r="E42" s="1" t="s">
        <v>133</v>
      </c>
      <c r="G42" s="1" t="s">
        <v>98</v>
      </c>
      <c r="J42" s="1" t="s">
        <v>34</v>
      </c>
      <c r="L42" s="42"/>
      <c r="M42" s="38"/>
    </row>
    <row r="43">
      <c r="A43" s="1" t="s">
        <v>153</v>
      </c>
      <c r="B43" s="1">
        <v>3.0</v>
      </c>
      <c r="C43" s="22">
        <v>77.88</v>
      </c>
      <c r="D43" s="1" t="s">
        <v>96</v>
      </c>
      <c r="E43" s="1" t="s">
        <v>133</v>
      </c>
      <c r="G43" s="1" t="s">
        <v>98</v>
      </c>
      <c r="J43" s="1" t="s">
        <v>41</v>
      </c>
      <c r="M43" s="38"/>
    </row>
    <row r="44">
      <c r="A44" s="1" t="s">
        <v>154</v>
      </c>
      <c r="B44" s="1">
        <v>3.0</v>
      </c>
      <c r="C44" s="22">
        <v>4.0</v>
      </c>
      <c r="D44" s="1" t="s">
        <v>96</v>
      </c>
      <c r="E44" s="1" t="s">
        <v>133</v>
      </c>
      <c r="G44" s="1" t="s">
        <v>98</v>
      </c>
      <c r="J44" s="1" t="s">
        <v>39</v>
      </c>
      <c r="M44" s="38"/>
    </row>
    <row r="45">
      <c r="A45" s="1" t="s">
        <v>155</v>
      </c>
      <c r="B45" s="1">
        <v>3.0</v>
      </c>
      <c r="C45" s="22">
        <v>9.0</v>
      </c>
      <c r="D45" s="1" t="s">
        <v>96</v>
      </c>
      <c r="E45" s="1" t="s">
        <v>156</v>
      </c>
      <c r="G45" s="1" t="s">
        <v>98</v>
      </c>
      <c r="J45" s="1" t="s">
        <v>44</v>
      </c>
      <c r="M45" s="38"/>
    </row>
    <row r="46">
      <c r="A46" s="1" t="s">
        <v>157</v>
      </c>
      <c r="B46" s="1">
        <v>3.0</v>
      </c>
      <c r="C46" s="22">
        <v>29.99</v>
      </c>
      <c r="D46" s="1" t="s">
        <v>96</v>
      </c>
      <c r="E46" s="1" t="s">
        <v>156</v>
      </c>
      <c r="G46" s="1" t="s">
        <v>98</v>
      </c>
      <c r="J46" s="1" t="s">
        <v>44</v>
      </c>
      <c r="M46" s="38"/>
    </row>
    <row r="47">
      <c r="A47" s="1" t="s">
        <v>158</v>
      </c>
      <c r="B47" s="1">
        <v>3.0</v>
      </c>
      <c r="C47" s="22">
        <v>175.22</v>
      </c>
      <c r="D47" s="1" t="s">
        <v>96</v>
      </c>
      <c r="E47" s="1" t="s">
        <v>156</v>
      </c>
      <c r="G47" s="1" t="s">
        <v>98</v>
      </c>
      <c r="J47" s="1" t="s">
        <v>21</v>
      </c>
      <c r="M47" s="38"/>
    </row>
    <row r="48">
      <c r="A48" s="1" t="s">
        <v>159</v>
      </c>
      <c r="B48" s="1">
        <v>4.0</v>
      </c>
      <c r="C48" s="22">
        <v>32.99</v>
      </c>
      <c r="D48" s="1" t="s">
        <v>96</v>
      </c>
      <c r="E48" s="1" t="s">
        <v>156</v>
      </c>
      <c r="G48" s="1" t="s">
        <v>98</v>
      </c>
      <c r="J48" s="1" t="s">
        <v>20</v>
      </c>
      <c r="M48" s="38"/>
    </row>
    <row r="49">
      <c r="A49" s="1" t="s">
        <v>160</v>
      </c>
      <c r="B49" s="1">
        <v>4.0</v>
      </c>
      <c r="C49" s="22">
        <v>343.76</v>
      </c>
      <c r="D49" s="1" t="s">
        <v>96</v>
      </c>
      <c r="E49" s="1" t="s">
        <v>156</v>
      </c>
      <c r="G49" s="1" t="s">
        <v>98</v>
      </c>
      <c r="J49" s="1" t="s">
        <v>41</v>
      </c>
      <c r="M49" s="38"/>
    </row>
    <row r="50">
      <c r="A50" s="1" t="s">
        <v>161</v>
      </c>
      <c r="B50" s="1">
        <v>4.0</v>
      </c>
      <c r="C50" s="22">
        <v>119.32</v>
      </c>
      <c r="D50" s="1" t="s">
        <v>96</v>
      </c>
      <c r="E50" s="1" t="s">
        <v>133</v>
      </c>
      <c r="G50" s="1" t="s">
        <v>98</v>
      </c>
      <c r="J50" s="1" t="s">
        <v>39</v>
      </c>
      <c r="M50" s="38"/>
    </row>
    <row r="51">
      <c r="A51" s="1" t="s">
        <v>139</v>
      </c>
      <c r="B51" s="1">
        <v>6.0</v>
      </c>
      <c r="C51" s="22">
        <v>59.01</v>
      </c>
      <c r="D51" s="1" t="s">
        <v>96</v>
      </c>
      <c r="E51" s="1" t="s">
        <v>133</v>
      </c>
      <c r="G51" s="1" t="s">
        <v>98</v>
      </c>
      <c r="J51" s="1" t="s">
        <v>25</v>
      </c>
      <c r="M51" s="38"/>
    </row>
    <row r="52">
      <c r="A52" s="1" t="s">
        <v>154</v>
      </c>
      <c r="B52" s="1">
        <v>6.0</v>
      </c>
      <c r="C52" s="22">
        <v>4.0</v>
      </c>
      <c r="D52" s="1" t="s">
        <v>96</v>
      </c>
      <c r="E52" s="1" t="s">
        <v>133</v>
      </c>
      <c r="G52" s="1" t="s">
        <v>98</v>
      </c>
      <c r="J52" s="1" t="s">
        <v>28</v>
      </c>
      <c r="M52" s="38"/>
    </row>
    <row r="53">
      <c r="A53" s="1" t="s">
        <v>162</v>
      </c>
      <c r="B53" s="1">
        <v>7.0</v>
      </c>
      <c r="C53" s="22">
        <v>100.0</v>
      </c>
      <c r="D53" s="1" t="s">
        <v>96</v>
      </c>
      <c r="E53" s="1" t="s">
        <v>133</v>
      </c>
      <c r="G53" s="1" t="s">
        <v>98</v>
      </c>
      <c r="J53" s="1" t="s">
        <v>29</v>
      </c>
      <c r="M53" s="38"/>
    </row>
    <row r="54">
      <c r="A54" s="1" t="s">
        <v>163</v>
      </c>
      <c r="B54" s="1">
        <v>7.0</v>
      </c>
      <c r="C54" s="22">
        <v>1050.0</v>
      </c>
      <c r="D54" s="1" t="s">
        <v>96</v>
      </c>
      <c r="E54" s="1" t="s">
        <v>133</v>
      </c>
      <c r="G54" s="1" t="s">
        <v>98</v>
      </c>
      <c r="J54" s="1" t="s">
        <v>38</v>
      </c>
      <c r="M54" s="38"/>
    </row>
    <row r="55">
      <c r="A55" s="1" t="s">
        <v>164</v>
      </c>
      <c r="B55" s="1">
        <v>8.0</v>
      </c>
      <c r="C55" s="22">
        <v>12.0</v>
      </c>
      <c r="D55" s="1" t="s">
        <v>96</v>
      </c>
      <c r="E55" s="1" t="s">
        <v>133</v>
      </c>
      <c r="G55" s="1"/>
      <c r="J55" s="1" t="s">
        <v>18</v>
      </c>
      <c r="M55" s="38"/>
    </row>
    <row r="56">
      <c r="A56" s="1" t="s">
        <v>165</v>
      </c>
      <c r="B56" s="1">
        <v>10.0</v>
      </c>
      <c r="C56" s="22">
        <v>217.88</v>
      </c>
      <c r="D56" s="1" t="s">
        <v>96</v>
      </c>
      <c r="E56" s="1" t="s">
        <v>133</v>
      </c>
      <c r="G56" s="1"/>
      <c r="J56" s="1" t="s">
        <v>34</v>
      </c>
      <c r="M56" s="38"/>
    </row>
    <row r="57">
      <c r="A57" s="1" t="s">
        <v>154</v>
      </c>
      <c r="B57" s="1">
        <v>13.0</v>
      </c>
      <c r="C57" s="22">
        <v>4.0</v>
      </c>
      <c r="D57" s="1" t="s">
        <v>96</v>
      </c>
      <c r="E57" s="1" t="s">
        <v>133</v>
      </c>
      <c r="G57" s="1"/>
      <c r="J57" s="1" t="s">
        <v>32</v>
      </c>
      <c r="M57" s="38"/>
    </row>
    <row r="58">
      <c r="A58" s="1" t="s">
        <v>150</v>
      </c>
      <c r="B58" s="1">
        <v>13.0</v>
      </c>
      <c r="C58" s="22">
        <v>30.35</v>
      </c>
      <c r="D58" s="1" t="s">
        <v>96</v>
      </c>
      <c r="E58" s="1" t="s">
        <v>133</v>
      </c>
      <c r="G58" s="1"/>
      <c r="J58" s="1" t="s">
        <v>29</v>
      </c>
      <c r="M58" s="38"/>
    </row>
    <row r="59">
      <c r="A59" s="1" t="s">
        <v>137</v>
      </c>
      <c r="B59" s="1">
        <v>13.0</v>
      </c>
      <c r="C59" s="22">
        <v>36.0</v>
      </c>
      <c r="D59" s="1"/>
      <c r="E59" s="1" t="s">
        <v>133</v>
      </c>
      <c r="G59" s="1"/>
      <c r="J59" s="1" t="s">
        <v>29</v>
      </c>
      <c r="M59" s="38"/>
    </row>
    <row r="60">
      <c r="A60" s="1" t="s">
        <v>166</v>
      </c>
      <c r="B60" s="1">
        <v>13.0</v>
      </c>
      <c r="C60" s="22">
        <v>37.0</v>
      </c>
      <c r="D60" s="1" t="s">
        <v>96</v>
      </c>
      <c r="E60" s="1" t="s">
        <v>133</v>
      </c>
      <c r="G60" s="1"/>
      <c r="J60" s="1" t="s">
        <v>28</v>
      </c>
      <c r="M60" s="38"/>
    </row>
    <row r="61">
      <c r="A61" s="1" t="s">
        <v>154</v>
      </c>
      <c r="B61" s="1">
        <v>15.0</v>
      </c>
      <c r="C61" s="22">
        <v>9.0</v>
      </c>
      <c r="D61" s="1" t="s">
        <v>96</v>
      </c>
      <c r="E61" s="1" t="s">
        <v>133</v>
      </c>
      <c r="G61" s="1"/>
      <c r="J61" s="1" t="s">
        <v>28</v>
      </c>
      <c r="M61" s="38"/>
    </row>
    <row r="62">
      <c r="A62" s="1" t="s">
        <v>167</v>
      </c>
      <c r="B62" s="1">
        <v>15.0</v>
      </c>
      <c r="C62" s="22">
        <v>8.0</v>
      </c>
      <c r="D62" s="1" t="s">
        <v>96</v>
      </c>
      <c r="E62" s="1" t="s">
        <v>133</v>
      </c>
      <c r="G62" s="1"/>
      <c r="J62" s="1" t="s">
        <v>39</v>
      </c>
      <c r="M62" s="38"/>
    </row>
    <row r="63">
      <c r="A63" s="1" t="s">
        <v>168</v>
      </c>
      <c r="B63" s="1">
        <v>15.0</v>
      </c>
      <c r="C63" s="22">
        <v>9.04</v>
      </c>
      <c r="D63" s="1" t="s">
        <v>96</v>
      </c>
      <c r="E63" s="1" t="s">
        <v>133</v>
      </c>
      <c r="G63" s="1"/>
      <c r="J63" s="1" t="s">
        <v>29</v>
      </c>
      <c r="M63" s="38"/>
    </row>
    <row r="64">
      <c r="A64" s="1" t="s">
        <v>139</v>
      </c>
      <c r="B64" s="1">
        <v>17.0</v>
      </c>
      <c r="C64" s="22">
        <v>175.13</v>
      </c>
      <c r="D64" s="1" t="s">
        <v>96</v>
      </c>
      <c r="E64" s="1" t="s">
        <v>133</v>
      </c>
      <c r="G64" s="1"/>
      <c r="J64" s="1" t="s">
        <v>43</v>
      </c>
      <c r="M64" s="36" t="s">
        <v>43</v>
      </c>
    </row>
    <row r="65">
      <c r="A65" s="1" t="s">
        <v>169</v>
      </c>
      <c r="B65" s="1">
        <v>17.0</v>
      </c>
      <c r="C65" s="22">
        <v>5.4</v>
      </c>
      <c r="D65" s="1" t="s">
        <v>96</v>
      </c>
      <c r="E65" s="1" t="s">
        <v>133</v>
      </c>
      <c r="G65" s="1"/>
      <c r="J65" s="1" t="s">
        <v>43</v>
      </c>
      <c r="L65" s="42"/>
      <c r="M65" s="38"/>
    </row>
    <row r="66">
      <c r="A66" s="1" t="s">
        <v>170</v>
      </c>
      <c r="B66" s="1">
        <v>17.0</v>
      </c>
      <c r="C66" s="22">
        <v>5.5</v>
      </c>
      <c r="D66" s="1" t="s">
        <v>96</v>
      </c>
      <c r="E66" s="1" t="s">
        <v>133</v>
      </c>
      <c r="G66" s="1"/>
      <c r="J66" s="1" t="s">
        <v>43</v>
      </c>
      <c r="M66" s="38"/>
    </row>
    <row r="67">
      <c r="A67" s="1" t="s">
        <v>171</v>
      </c>
      <c r="B67" s="1">
        <v>17.0</v>
      </c>
      <c r="C67" s="22">
        <v>25.47</v>
      </c>
      <c r="D67" s="1" t="s">
        <v>96</v>
      </c>
      <c r="E67" s="1" t="s">
        <v>133</v>
      </c>
      <c r="J67" s="1" t="s">
        <v>43</v>
      </c>
      <c r="M67" s="38"/>
    </row>
    <row r="68">
      <c r="A68" s="1" t="s">
        <v>172</v>
      </c>
      <c r="B68" s="1">
        <v>17.0</v>
      </c>
      <c r="C68" s="22">
        <v>5.4</v>
      </c>
      <c r="D68" s="1" t="s">
        <v>96</v>
      </c>
      <c r="E68" s="1" t="s">
        <v>133</v>
      </c>
      <c r="J68" s="1" t="s">
        <v>43</v>
      </c>
      <c r="M68" s="38"/>
    </row>
    <row r="69">
      <c r="A69" s="1" t="s">
        <v>173</v>
      </c>
      <c r="B69" s="1">
        <v>17.0</v>
      </c>
      <c r="C69" s="22">
        <v>4.1</v>
      </c>
      <c r="D69" s="1" t="s">
        <v>96</v>
      </c>
      <c r="E69" s="1" t="s">
        <v>133</v>
      </c>
      <c r="J69" s="1" t="s">
        <v>43</v>
      </c>
      <c r="M69" s="38"/>
    </row>
    <row r="70">
      <c r="A70" s="1" t="s">
        <v>174</v>
      </c>
      <c r="B70" s="1">
        <v>17.0</v>
      </c>
      <c r="C70" s="22">
        <v>150.0</v>
      </c>
      <c r="D70" s="1" t="s">
        <v>96</v>
      </c>
      <c r="E70" s="1" t="s">
        <v>133</v>
      </c>
      <c r="J70" s="1" t="s">
        <v>43</v>
      </c>
      <c r="M70" s="38"/>
    </row>
    <row r="71">
      <c r="A71" s="1" t="s">
        <v>175</v>
      </c>
      <c r="B71" s="1">
        <v>17.0</v>
      </c>
      <c r="C71" s="22">
        <v>16.9</v>
      </c>
      <c r="D71" s="1" t="s">
        <v>96</v>
      </c>
      <c r="E71" s="1" t="s">
        <v>133</v>
      </c>
      <c r="J71" s="1" t="s">
        <v>43</v>
      </c>
      <c r="M71" s="38"/>
    </row>
    <row r="72">
      <c r="A72" s="1" t="s">
        <v>175</v>
      </c>
      <c r="B72" s="1">
        <v>17.0</v>
      </c>
      <c r="C72" s="22">
        <v>15.5</v>
      </c>
      <c r="D72" s="1" t="s">
        <v>96</v>
      </c>
      <c r="E72" s="1" t="s">
        <v>133</v>
      </c>
      <c r="J72" s="1" t="s">
        <v>43</v>
      </c>
      <c r="K72" s="42"/>
      <c r="M72" s="38"/>
    </row>
    <row r="73">
      <c r="A73" s="1" t="s">
        <v>176</v>
      </c>
      <c r="B73" s="1">
        <v>17.0</v>
      </c>
      <c r="C73" s="22">
        <v>72.46</v>
      </c>
      <c r="D73" s="1" t="s">
        <v>96</v>
      </c>
      <c r="E73" s="1" t="s">
        <v>133</v>
      </c>
      <c r="J73" s="1" t="s">
        <v>43</v>
      </c>
      <c r="M73" s="38"/>
    </row>
    <row r="74">
      <c r="A74" s="1" t="s">
        <v>177</v>
      </c>
      <c r="B74" s="1">
        <v>18.0</v>
      </c>
      <c r="C74" s="22">
        <v>19.4</v>
      </c>
      <c r="D74" s="1" t="s">
        <v>96</v>
      </c>
      <c r="E74" s="1" t="s">
        <v>133</v>
      </c>
      <c r="J74" s="1" t="s">
        <v>43</v>
      </c>
      <c r="M74" s="38"/>
    </row>
    <row r="75">
      <c r="A75" s="1" t="s">
        <v>178</v>
      </c>
      <c r="B75" s="1">
        <v>18.0</v>
      </c>
      <c r="C75" s="22">
        <v>13.8</v>
      </c>
      <c r="D75" s="1" t="s">
        <v>96</v>
      </c>
      <c r="E75" s="1" t="s">
        <v>133</v>
      </c>
      <c r="J75" s="1" t="s">
        <v>43</v>
      </c>
      <c r="M75" s="38"/>
    </row>
    <row r="76">
      <c r="A76" s="1" t="s">
        <v>179</v>
      </c>
      <c r="B76" s="1">
        <v>18.0</v>
      </c>
      <c r="C76" s="22">
        <v>4.0</v>
      </c>
      <c r="D76" s="1" t="s">
        <v>96</v>
      </c>
      <c r="E76" s="1" t="s">
        <v>133</v>
      </c>
      <c r="J76" s="1" t="s">
        <v>43</v>
      </c>
      <c r="M76" s="38"/>
    </row>
    <row r="77">
      <c r="A77" s="1" t="s">
        <v>180</v>
      </c>
      <c r="B77" s="1">
        <v>18.0</v>
      </c>
      <c r="C77" s="22">
        <v>9.4</v>
      </c>
      <c r="D77" s="1" t="s">
        <v>96</v>
      </c>
      <c r="E77" s="1" t="s">
        <v>133</v>
      </c>
      <c r="J77" s="1" t="s">
        <v>43</v>
      </c>
      <c r="M77" s="38"/>
    </row>
    <row r="78">
      <c r="A78" s="1" t="s">
        <v>181</v>
      </c>
      <c r="B78" s="1">
        <v>18.0</v>
      </c>
      <c r="C78" s="22">
        <v>12.8</v>
      </c>
      <c r="D78" s="1" t="s">
        <v>96</v>
      </c>
      <c r="E78" s="1" t="s">
        <v>133</v>
      </c>
      <c r="J78" s="1" t="s">
        <v>43</v>
      </c>
      <c r="M78" s="38"/>
    </row>
    <row r="79">
      <c r="A79" s="1" t="s">
        <v>182</v>
      </c>
      <c r="B79" s="1">
        <v>18.0</v>
      </c>
      <c r="C79" s="22">
        <v>13.2</v>
      </c>
      <c r="D79" s="1" t="s">
        <v>96</v>
      </c>
      <c r="E79" s="1" t="s">
        <v>133</v>
      </c>
      <c r="J79" s="1" t="s">
        <v>43</v>
      </c>
      <c r="M79" s="38"/>
    </row>
    <row r="80">
      <c r="A80" s="1" t="s">
        <v>182</v>
      </c>
      <c r="B80" s="1">
        <v>18.0</v>
      </c>
      <c r="C80" s="22">
        <v>19.4</v>
      </c>
      <c r="D80" s="1" t="s">
        <v>96</v>
      </c>
      <c r="E80" s="1" t="s">
        <v>133</v>
      </c>
      <c r="J80" s="1" t="s">
        <v>43</v>
      </c>
      <c r="M80" s="38"/>
    </row>
    <row r="81">
      <c r="A81" s="1" t="s">
        <v>183</v>
      </c>
      <c r="B81" s="1">
        <v>18.0</v>
      </c>
      <c r="C81" s="1">
        <v>70.0</v>
      </c>
      <c r="D81" s="1" t="s">
        <v>96</v>
      </c>
      <c r="E81" s="1" t="s">
        <v>133</v>
      </c>
      <c r="J81" s="1" t="s">
        <v>43</v>
      </c>
      <c r="M81" s="38"/>
    </row>
    <row r="82">
      <c r="A82" s="1" t="s">
        <v>184</v>
      </c>
      <c r="B82" s="1">
        <v>18.0</v>
      </c>
      <c r="C82" s="1">
        <v>41.28</v>
      </c>
      <c r="D82" s="1" t="s">
        <v>96</v>
      </c>
      <c r="E82" s="1" t="s">
        <v>133</v>
      </c>
      <c r="J82" s="1" t="s">
        <v>43</v>
      </c>
      <c r="M82" s="38"/>
    </row>
    <row r="83">
      <c r="A83" s="1" t="s">
        <v>185</v>
      </c>
      <c r="B83" s="1">
        <v>18.0</v>
      </c>
      <c r="C83" s="1">
        <v>44.45</v>
      </c>
      <c r="D83" s="1" t="s">
        <v>96</v>
      </c>
      <c r="E83" s="1" t="s">
        <v>133</v>
      </c>
      <c r="J83" s="1" t="s">
        <v>43</v>
      </c>
      <c r="M83" s="38"/>
    </row>
    <row r="84">
      <c r="A84" s="1" t="s">
        <v>148</v>
      </c>
      <c r="B84" s="1">
        <v>18.0</v>
      </c>
      <c r="C84" s="1">
        <v>350.0</v>
      </c>
      <c r="D84" s="1" t="s">
        <v>96</v>
      </c>
      <c r="E84" s="1" t="s">
        <v>133</v>
      </c>
      <c r="J84" s="1" t="s">
        <v>43</v>
      </c>
      <c r="M84" s="38"/>
    </row>
    <row r="85">
      <c r="A85" s="1" t="s">
        <v>186</v>
      </c>
      <c r="B85" s="1">
        <v>19.0</v>
      </c>
      <c r="C85" s="1">
        <v>73.0</v>
      </c>
      <c r="D85" s="1" t="s">
        <v>96</v>
      </c>
      <c r="E85" s="1" t="s">
        <v>133</v>
      </c>
      <c r="J85" s="1" t="s">
        <v>43</v>
      </c>
      <c r="M85" s="38"/>
    </row>
    <row r="86">
      <c r="A86" s="1" t="s">
        <v>187</v>
      </c>
      <c r="B86" s="1">
        <v>19.0</v>
      </c>
      <c r="C86" s="1">
        <v>237.58</v>
      </c>
      <c r="D86" s="1" t="s">
        <v>96</v>
      </c>
      <c r="E86" s="1" t="s">
        <v>133</v>
      </c>
      <c r="J86" s="1" t="s">
        <v>43</v>
      </c>
      <c r="M86" s="38"/>
    </row>
    <row r="87">
      <c r="A87" s="1" t="s">
        <v>188</v>
      </c>
      <c r="B87" s="1">
        <v>19.0</v>
      </c>
      <c r="C87" s="1">
        <v>161.0</v>
      </c>
      <c r="D87" s="1" t="s">
        <v>96</v>
      </c>
      <c r="E87" s="1" t="s">
        <v>133</v>
      </c>
      <c r="J87" s="1" t="s">
        <v>43</v>
      </c>
      <c r="M87" s="38"/>
    </row>
    <row r="88">
      <c r="A88" s="1" t="s">
        <v>189</v>
      </c>
      <c r="B88" s="1">
        <v>19.0</v>
      </c>
      <c r="C88" s="1">
        <v>15.2</v>
      </c>
      <c r="D88" s="1" t="s">
        <v>96</v>
      </c>
      <c r="E88" s="1" t="s">
        <v>133</v>
      </c>
      <c r="J88" s="1" t="s">
        <v>43</v>
      </c>
      <c r="M88" s="38"/>
    </row>
    <row r="89">
      <c r="A89" s="1" t="s">
        <v>141</v>
      </c>
      <c r="B89" s="1">
        <v>19.0</v>
      </c>
      <c r="C89" s="1">
        <v>108.7</v>
      </c>
      <c r="D89" s="1" t="s">
        <v>96</v>
      </c>
      <c r="E89" s="1" t="s">
        <v>133</v>
      </c>
      <c r="J89" s="1" t="s">
        <v>43</v>
      </c>
      <c r="M89" s="38"/>
    </row>
    <row r="90">
      <c r="A90" s="1" t="s">
        <v>190</v>
      </c>
      <c r="B90" s="1">
        <v>19.0</v>
      </c>
      <c r="C90" s="1">
        <v>221.68</v>
      </c>
      <c r="D90" s="1" t="s">
        <v>96</v>
      </c>
      <c r="E90" s="1" t="s">
        <v>133</v>
      </c>
      <c r="J90" s="1" t="s">
        <v>43</v>
      </c>
      <c r="M90" s="38"/>
    </row>
    <row r="91">
      <c r="A91" s="1" t="s">
        <v>191</v>
      </c>
      <c r="B91" s="1">
        <v>19.0</v>
      </c>
      <c r="C91" s="1">
        <v>17.4</v>
      </c>
      <c r="D91" s="1" t="s">
        <v>96</v>
      </c>
      <c r="E91" s="1" t="s">
        <v>133</v>
      </c>
      <c r="J91" s="1" t="s">
        <v>43</v>
      </c>
      <c r="M91" s="38"/>
    </row>
    <row r="92">
      <c r="A92" s="1" t="s">
        <v>188</v>
      </c>
      <c r="B92" s="1">
        <v>19.0</v>
      </c>
      <c r="C92" s="1">
        <v>404.1</v>
      </c>
      <c r="D92" s="1" t="s">
        <v>96</v>
      </c>
      <c r="E92" s="1" t="s">
        <v>133</v>
      </c>
      <c r="J92" s="1" t="s">
        <v>43</v>
      </c>
      <c r="M92" s="38"/>
    </row>
    <row r="93">
      <c r="A93" s="1" t="s">
        <v>192</v>
      </c>
      <c r="B93" s="1">
        <v>20.0</v>
      </c>
      <c r="C93" s="1">
        <v>100.0</v>
      </c>
      <c r="D93" s="1" t="s">
        <v>96</v>
      </c>
      <c r="E93" s="1" t="s">
        <v>133</v>
      </c>
      <c r="J93" s="1" t="s">
        <v>43</v>
      </c>
      <c r="M93" s="38"/>
    </row>
    <row r="94">
      <c r="A94" s="1" t="s">
        <v>193</v>
      </c>
      <c r="B94" s="1">
        <v>20.0</v>
      </c>
      <c r="C94" s="1">
        <v>472.0</v>
      </c>
      <c r="D94" s="1" t="s">
        <v>96</v>
      </c>
      <c r="E94" s="1" t="s">
        <v>133</v>
      </c>
      <c r="J94" s="1" t="s">
        <v>43</v>
      </c>
      <c r="M94" s="38"/>
    </row>
    <row r="95">
      <c r="A95" s="1" t="s">
        <v>194</v>
      </c>
      <c r="B95" s="1">
        <v>20.0</v>
      </c>
      <c r="C95" s="1">
        <v>25.0</v>
      </c>
      <c r="D95" s="1" t="s">
        <v>96</v>
      </c>
      <c r="E95" s="1" t="s">
        <v>133</v>
      </c>
      <c r="J95" s="1" t="s">
        <v>43</v>
      </c>
      <c r="M95" s="38"/>
    </row>
    <row r="96">
      <c r="A96" s="1" t="s">
        <v>194</v>
      </c>
      <c r="B96" s="1">
        <v>20.0</v>
      </c>
      <c r="C96" s="1">
        <v>242.0</v>
      </c>
      <c r="D96" s="1" t="s">
        <v>96</v>
      </c>
      <c r="E96" s="1" t="s">
        <v>133</v>
      </c>
      <c r="J96" s="1" t="s">
        <v>43</v>
      </c>
      <c r="M96" s="38"/>
    </row>
    <row r="97">
      <c r="A97" s="1" t="s">
        <v>195</v>
      </c>
      <c r="B97" s="1">
        <v>20.0</v>
      </c>
      <c r="C97" s="1">
        <v>330.0</v>
      </c>
      <c r="D97" s="1" t="s">
        <v>96</v>
      </c>
      <c r="E97" s="1" t="s">
        <v>133</v>
      </c>
      <c r="J97" s="1" t="s">
        <v>43</v>
      </c>
      <c r="M97" s="38"/>
    </row>
    <row r="98">
      <c r="A98" s="1" t="s">
        <v>196</v>
      </c>
      <c r="B98" s="1">
        <v>20.0</v>
      </c>
      <c r="C98" s="1">
        <v>60.0</v>
      </c>
      <c r="D98" s="1" t="s">
        <v>96</v>
      </c>
      <c r="E98" s="1" t="s">
        <v>133</v>
      </c>
      <c r="J98" s="1" t="s">
        <v>43</v>
      </c>
      <c r="M98" s="38"/>
    </row>
    <row r="99">
      <c r="A99" s="1" t="s">
        <v>197</v>
      </c>
      <c r="B99" s="1">
        <v>20.0</v>
      </c>
      <c r="C99" s="1">
        <v>89.97</v>
      </c>
      <c r="D99" s="1" t="s">
        <v>96</v>
      </c>
      <c r="E99" s="1" t="s">
        <v>133</v>
      </c>
      <c r="J99" s="1" t="s">
        <v>43</v>
      </c>
      <c r="M99" s="38"/>
    </row>
    <row r="100">
      <c r="A100" s="1" t="s">
        <v>198</v>
      </c>
      <c r="B100" s="1">
        <v>22.0</v>
      </c>
      <c r="C100" s="1">
        <v>50.0</v>
      </c>
      <c r="D100" s="1" t="s">
        <v>96</v>
      </c>
      <c r="E100" s="1" t="s">
        <v>133</v>
      </c>
      <c r="J100" s="1" t="s">
        <v>43</v>
      </c>
      <c r="M100" s="38"/>
    </row>
    <row r="101">
      <c r="A101" s="1" t="s">
        <v>199</v>
      </c>
      <c r="B101" s="1">
        <v>23.0</v>
      </c>
      <c r="C101" s="1">
        <v>100.0</v>
      </c>
      <c r="D101" s="1" t="s">
        <v>96</v>
      </c>
      <c r="E101" s="1" t="s">
        <v>133</v>
      </c>
      <c r="J101" s="1" t="s">
        <v>43</v>
      </c>
      <c r="M101" s="38"/>
    </row>
    <row r="102">
      <c r="A102" s="1" t="s">
        <v>188</v>
      </c>
      <c r="B102" s="1">
        <v>24.0</v>
      </c>
      <c r="C102" s="1">
        <v>672.7</v>
      </c>
      <c r="D102" s="1" t="s">
        <v>96</v>
      </c>
      <c r="E102" s="1" t="s">
        <v>133</v>
      </c>
      <c r="J102" s="1" t="s">
        <v>43</v>
      </c>
      <c r="M102" s="38"/>
    </row>
    <row r="103">
      <c r="A103" s="1" t="s">
        <v>200</v>
      </c>
      <c r="B103" s="1">
        <v>24.0</v>
      </c>
      <c r="C103" s="1">
        <v>208.1</v>
      </c>
      <c r="D103" s="1" t="s">
        <v>96</v>
      </c>
      <c r="E103" s="1" t="s">
        <v>133</v>
      </c>
      <c r="J103" s="1" t="s">
        <v>43</v>
      </c>
      <c r="M103" s="38"/>
    </row>
    <row r="104">
      <c r="A104" s="1" t="s">
        <v>189</v>
      </c>
      <c r="B104" s="1">
        <v>24.0</v>
      </c>
      <c r="C104" s="1">
        <v>15.2</v>
      </c>
      <c r="D104" s="1" t="s">
        <v>96</v>
      </c>
      <c r="E104" s="1" t="s">
        <v>133</v>
      </c>
      <c r="J104" s="1" t="s">
        <v>43</v>
      </c>
      <c r="M104" s="38"/>
    </row>
    <row r="105">
      <c r="A105" s="1" t="s">
        <v>189</v>
      </c>
      <c r="B105" s="1">
        <v>24.0</v>
      </c>
      <c r="C105" s="1">
        <v>17.4</v>
      </c>
      <c r="D105" s="1" t="s">
        <v>96</v>
      </c>
      <c r="E105" s="1" t="s">
        <v>133</v>
      </c>
      <c r="J105" s="1" t="s">
        <v>43</v>
      </c>
      <c r="M105" s="38"/>
    </row>
    <row r="106">
      <c r="A106" s="1" t="s">
        <v>201</v>
      </c>
      <c r="B106" s="1">
        <v>24.0</v>
      </c>
      <c r="C106" s="1">
        <v>13.48</v>
      </c>
      <c r="D106" s="1" t="s">
        <v>96</v>
      </c>
      <c r="E106" s="1" t="s">
        <v>133</v>
      </c>
      <c r="J106" s="1" t="s">
        <v>43</v>
      </c>
      <c r="M106" s="38"/>
    </row>
    <row r="107">
      <c r="A107" s="1" t="s">
        <v>202</v>
      </c>
      <c r="B107" s="1">
        <v>24.0</v>
      </c>
      <c r="C107" s="1">
        <v>131.0</v>
      </c>
      <c r="D107" s="1" t="s">
        <v>96</v>
      </c>
      <c r="E107" s="1" t="s">
        <v>133</v>
      </c>
      <c r="J107" s="1" t="s">
        <v>43</v>
      </c>
      <c r="M107" s="38"/>
    </row>
    <row r="108">
      <c r="A108" s="1" t="s">
        <v>178</v>
      </c>
      <c r="B108" s="1">
        <v>25.0</v>
      </c>
      <c r="C108" s="1">
        <v>13.8</v>
      </c>
      <c r="D108" s="1" t="s">
        <v>96</v>
      </c>
      <c r="E108" s="1" t="s">
        <v>133</v>
      </c>
      <c r="J108" s="1" t="s">
        <v>43</v>
      </c>
      <c r="M108" s="38"/>
    </row>
    <row r="109">
      <c r="A109" s="1" t="s">
        <v>188</v>
      </c>
      <c r="B109" s="1">
        <v>25.0</v>
      </c>
      <c r="C109" s="1">
        <v>151.0</v>
      </c>
      <c r="D109" s="1" t="s">
        <v>96</v>
      </c>
      <c r="E109" s="1" t="s">
        <v>133</v>
      </c>
      <c r="J109" s="1" t="s">
        <v>43</v>
      </c>
      <c r="M109" s="38"/>
    </row>
    <row r="110">
      <c r="A110" s="1" t="s">
        <v>187</v>
      </c>
      <c r="B110" s="1">
        <v>25.0</v>
      </c>
      <c r="C110" s="1">
        <v>335.68</v>
      </c>
      <c r="D110" s="1" t="s">
        <v>96</v>
      </c>
      <c r="E110" s="1" t="s">
        <v>133</v>
      </c>
      <c r="J110" s="1" t="s">
        <v>43</v>
      </c>
      <c r="M110" s="38"/>
    </row>
    <row r="111">
      <c r="A111" s="1" t="s">
        <v>181</v>
      </c>
      <c r="B111" s="1">
        <v>25.0</v>
      </c>
      <c r="C111" s="1">
        <v>12.8</v>
      </c>
      <c r="D111" s="1" t="s">
        <v>96</v>
      </c>
      <c r="E111" s="1" t="s">
        <v>133</v>
      </c>
      <c r="J111" s="1" t="s">
        <v>43</v>
      </c>
      <c r="M111" s="38"/>
    </row>
    <row r="112">
      <c r="A112" s="1" t="s">
        <v>171</v>
      </c>
      <c r="B112" s="1">
        <v>25.0</v>
      </c>
      <c r="C112" s="1">
        <v>140.88</v>
      </c>
      <c r="D112" s="1" t="s">
        <v>96</v>
      </c>
      <c r="E112" s="1" t="s">
        <v>133</v>
      </c>
      <c r="J112" s="1" t="s">
        <v>43</v>
      </c>
      <c r="M112" s="38"/>
    </row>
    <row r="113">
      <c r="A113" s="1" t="s">
        <v>184</v>
      </c>
      <c r="B113" s="1">
        <v>25.0</v>
      </c>
      <c r="C113" s="1">
        <v>164.62</v>
      </c>
      <c r="D113" s="1" t="s">
        <v>96</v>
      </c>
      <c r="E113" s="1" t="s">
        <v>133</v>
      </c>
      <c r="J113" s="1" t="s">
        <v>43</v>
      </c>
      <c r="M113" s="38"/>
    </row>
    <row r="114">
      <c r="A114" s="1" t="s">
        <v>184</v>
      </c>
      <c r="B114" s="1">
        <v>25.0</v>
      </c>
      <c r="C114" s="1">
        <v>12.05</v>
      </c>
      <c r="D114" s="1" t="s">
        <v>96</v>
      </c>
      <c r="E114" s="1" t="s">
        <v>133</v>
      </c>
      <c r="J114" s="1" t="s">
        <v>43</v>
      </c>
      <c r="M114" s="38"/>
    </row>
    <row r="115">
      <c r="A115" s="1" t="s">
        <v>203</v>
      </c>
      <c r="B115" s="1">
        <v>25.0</v>
      </c>
      <c r="C115" s="1">
        <v>12.6</v>
      </c>
      <c r="D115" s="1" t="s">
        <v>96</v>
      </c>
      <c r="E115" s="1" t="s">
        <v>133</v>
      </c>
      <c r="J115" s="1" t="s">
        <v>43</v>
      </c>
      <c r="M115" s="38"/>
    </row>
    <row r="116">
      <c r="A116" s="1" t="s">
        <v>182</v>
      </c>
      <c r="B116" s="1">
        <v>25.0</v>
      </c>
      <c r="C116" s="1">
        <v>19.4</v>
      </c>
      <c r="D116" s="1" t="s">
        <v>96</v>
      </c>
      <c r="E116" s="1" t="s">
        <v>133</v>
      </c>
      <c r="J116" s="1" t="s">
        <v>43</v>
      </c>
      <c r="M116" s="38"/>
    </row>
    <row r="117">
      <c r="A117" s="1" t="s">
        <v>182</v>
      </c>
      <c r="B117" s="1">
        <v>25.0</v>
      </c>
      <c r="C117" s="1">
        <v>19.4</v>
      </c>
      <c r="D117" s="1" t="s">
        <v>96</v>
      </c>
      <c r="E117" s="1" t="s">
        <v>133</v>
      </c>
      <c r="J117" s="1" t="s">
        <v>43</v>
      </c>
      <c r="M117" s="38"/>
    </row>
    <row r="118">
      <c r="A118" s="1" t="s">
        <v>182</v>
      </c>
      <c r="B118" s="1">
        <v>25.0</v>
      </c>
      <c r="C118" s="1">
        <v>13.2</v>
      </c>
      <c r="D118" s="1"/>
      <c r="E118" s="1" t="s">
        <v>133</v>
      </c>
      <c r="J118" s="1" t="s">
        <v>43</v>
      </c>
      <c r="M118" s="38"/>
    </row>
    <row r="119">
      <c r="A119" s="1" t="s">
        <v>204</v>
      </c>
      <c r="B119" s="1">
        <v>26.0</v>
      </c>
      <c r="C119" s="1">
        <v>4.5</v>
      </c>
      <c r="D119" s="1"/>
      <c r="E119" s="1" t="s">
        <v>133</v>
      </c>
      <c r="J119" s="1" t="s">
        <v>43</v>
      </c>
      <c r="M119" s="38"/>
    </row>
    <row r="120">
      <c r="A120" s="1" t="s">
        <v>204</v>
      </c>
      <c r="B120" s="1">
        <v>26.0</v>
      </c>
      <c r="C120" s="1">
        <v>4.5</v>
      </c>
      <c r="D120" s="1"/>
      <c r="E120" s="1" t="s">
        <v>133</v>
      </c>
      <c r="J120" s="1" t="s">
        <v>43</v>
      </c>
      <c r="M120" s="38"/>
    </row>
    <row r="121">
      <c r="A121" s="1" t="s">
        <v>204</v>
      </c>
      <c r="B121" s="1">
        <v>26.0</v>
      </c>
      <c r="C121" s="1">
        <v>8.1</v>
      </c>
      <c r="D121" s="1"/>
      <c r="E121" s="1" t="s">
        <v>133</v>
      </c>
      <c r="J121" s="1" t="s">
        <v>43</v>
      </c>
      <c r="M121" s="38"/>
    </row>
    <row r="122">
      <c r="A122" s="1" t="s">
        <v>204</v>
      </c>
      <c r="B122" s="1">
        <v>26.0</v>
      </c>
      <c r="C122" s="1">
        <v>16.9</v>
      </c>
      <c r="E122" s="1" t="s">
        <v>133</v>
      </c>
      <c r="J122" s="1" t="s">
        <v>43</v>
      </c>
      <c r="M122" s="38"/>
    </row>
    <row r="123">
      <c r="A123" s="1" t="s">
        <v>204</v>
      </c>
      <c r="B123" s="1">
        <v>26.0</v>
      </c>
      <c r="C123" s="1">
        <v>14.5</v>
      </c>
      <c r="E123" s="1" t="s">
        <v>133</v>
      </c>
      <c r="J123" s="1" t="s">
        <v>43</v>
      </c>
      <c r="M123" s="38"/>
    </row>
    <row r="124">
      <c r="A124" s="1" t="s">
        <v>205</v>
      </c>
      <c r="B124" s="1">
        <v>26.0</v>
      </c>
      <c r="C124" s="1">
        <v>17.9</v>
      </c>
      <c r="E124" s="1" t="s">
        <v>133</v>
      </c>
      <c r="J124" s="1" t="s">
        <v>43</v>
      </c>
      <c r="M124" s="38"/>
    </row>
    <row r="125">
      <c r="A125" s="1" t="s">
        <v>206</v>
      </c>
      <c r="B125" s="1">
        <v>26.0</v>
      </c>
      <c r="C125" s="1">
        <v>16.4</v>
      </c>
      <c r="E125" s="1" t="s">
        <v>133</v>
      </c>
      <c r="J125" s="1" t="s">
        <v>43</v>
      </c>
      <c r="M125" s="38"/>
    </row>
    <row r="126">
      <c r="A126" s="1" t="s">
        <v>141</v>
      </c>
      <c r="B126" s="1">
        <v>26.0</v>
      </c>
      <c r="C126" s="1">
        <v>77.8</v>
      </c>
      <c r="E126" s="1" t="s">
        <v>133</v>
      </c>
      <c r="J126" s="1" t="s">
        <v>43</v>
      </c>
      <c r="M126" s="38"/>
    </row>
    <row r="127">
      <c r="A127" s="1" t="s">
        <v>207</v>
      </c>
      <c r="B127" s="1">
        <v>5.0</v>
      </c>
      <c r="C127" s="1">
        <v>189.89</v>
      </c>
      <c r="E127" s="1" t="s">
        <v>156</v>
      </c>
      <c r="J127" s="1" t="s">
        <v>31</v>
      </c>
      <c r="M127" s="38"/>
    </row>
    <row r="128">
      <c r="A128" s="1" t="s">
        <v>208</v>
      </c>
      <c r="B128" s="1">
        <v>5.0</v>
      </c>
      <c r="C128" s="1">
        <v>20.0</v>
      </c>
      <c r="E128" s="1" t="s">
        <v>156</v>
      </c>
      <c r="J128" s="1" t="s">
        <v>21</v>
      </c>
      <c r="M128" s="38"/>
    </row>
    <row r="129">
      <c r="A129" s="1" t="s">
        <v>142</v>
      </c>
      <c r="B129" s="1">
        <v>5.0</v>
      </c>
      <c r="C129" s="1">
        <v>6.0</v>
      </c>
      <c r="E129" s="1" t="s">
        <v>156</v>
      </c>
      <c r="J129" s="1" t="s">
        <v>20</v>
      </c>
      <c r="M129" s="38"/>
    </row>
    <row r="130">
      <c r="A130" s="1" t="s">
        <v>209</v>
      </c>
      <c r="B130" s="1">
        <v>5.0</v>
      </c>
      <c r="C130" s="1">
        <v>7.18</v>
      </c>
      <c r="E130" s="1" t="s">
        <v>156</v>
      </c>
      <c r="J130" s="1" t="s">
        <v>24</v>
      </c>
      <c r="M130" s="38"/>
    </row>
    <row r="131">
      <c r="A131" s="1" t="s">
        <v>210</v>
      </c>
      <c r="B131" s="1">
        <v>8.0</v>
      </c>
      <c r="C131" s="1">
        <f>40+0.9</f>
        <v>40.9</v>
      </c>
      <c r="E131" s="1" t="s">
        <v>156</v>
      </c>
      <c r="J131" s="1" t="s">
        <v>17</v>
      </c>
      <c r="M131" s="38"/>
    </row>
    <row r="132">
      <c r="A132" s="1" t="s">
        <v>211</v>
      </c>
      <c r="B132" s="1">
        <v>12.0</v>
      </c>
      <c r="C132" s="1">
        <v>83.98</v>
      </c>
      <c r="E132" s="1" t="s">
        <v>156</v>
      </c>
      <c r="J132" s="1" t="s">
        <v>44</v>
      </c>
      <c r="M132" s="38"/>
    </row>
    <row r="133">
      <c r="A133" s="1" t="s">
        <v>208</v>
      </c>
      <c r="B133" s="1">
        <v>15.0</v>
      </c>
      <c r="C133" s="1">
        <v>30.0</v>
      </c>
      <c r="E133" s="1" t="s">
        <v>156</v>
      </c>
      <c r="J133" s="1" t="s">
        <v>21</v>
      </c>
      <c r="M133" s="38"/>
    </row>
    <row r="134">
      <c r="A134" s="1" t="s">
        <v>212</v>
      </c>
      <c r="B134" s="1">
        <v>16.0</v>
      </c>
      <c r="C134" s="1">
        <v>25.0</v>
      </c>
      <c r="E134" s="1" t="s">
        <v>156</v>
      </c>
      <c r="J134" s="1" t="s">
        <v>32</v>
      </c>
      <c r="M134" s="38"/>
    </row>
    <row r="135">
      <c r="A135" s="1" t="s">
        <v>213</v>
      </c>
      <c r="B135" s="1">
        <v>16.0</v>
      </c>
      <c r="C135" s="1">
        <v>627.0</v>
      </c>
      <c r="E135" s="1" t="s">
        <v>156</v>
      </c>
      <c r="J135" s="1" t="s">
        <v>32</v>
      </c>
      <c r="M135" s="38"/>
    </row>
    <row r="136">
      <c r="A136" s="1" t="s">
        <v>214</v>
      </c>
      <c r="B136" s="1">
        <v>16.0</v>
      </c>
      <c r="C136" s="1">
        <v>50.0</v>
      </c>
      <c r="E136" s="1" t="s">
        <v>156</v>
      </c>
      <c r="J136" s="1" t="s">
        <v>32</v>
      </c>
      <c r="M136" s="38"/>
    </row>
    <row r="137">
      <c r="A137" s="1" t="s">
        <v>215</v>
      </c>
      <c r="B137" s="1">
        <v>19.0</v>
      </c>
      <c r="C137" s="1">
        <v>41.26</v>
      </c>
      <c r="E137" s="1" t="s">
        <v>156</v>
      </c>
      <c r="J137" s="1" t="s">
        <v>43</v>
      </c>
      <c r="M137" s="38"/>
    </row>
    <row r="138">
      <c r="A138" s="1" t="s">
        <v>216</v>
      </c>
      <c r="B138" s="1">
        <v>17.0</v>
      </c>
      <c r="C138" s="1">
        <v>62.48</v>
      </c>
      <c r="E138" s="1" t="s">
        <v>156</v>
      </c>
      <c r="J138" s="1" t="s">
        <v>43</v>
      </c>
      <c r="M138" s="38"/>
    </row>
    <row r="139">
      <c r="A139" s="1" t="s">
        <v>217</v>
      </c>
      <c r="B139" s="1">
        <v>18.0</v>
      </c>
      <c r="C139" s="1">
        <v>67.05</v>
      </c>
      <c r="E139" s="1" t="s">
        <v>156</v>
      </c>
      <c r="J139" s="1" t="s">
        <v>43</v>
      </c>
      <c r="M139" s="38"/>
    </row>
    <row r="140">
      <c r="A140" s="1" t="s">
        <v>218</v>
      </c>
      <c r="B140" s="1">
        <v>21.0</v>
      </c>
      <c r="C140" s="1">
        <v>3208.2</v>
      </c>
      <c r="E140" s="1" t="s">
        <v>156</v>
      </c>
      <c r="J140" s="1" t="s">
        <v>43</v>
      </c>
      <c r="M140" s="38"/>
    </row>
    <row r="141">
      <c r="A141" s="1" t="s">
        <v>219</v>
      </c>
      <c r="B141" s="1">
        <v>20.0</v>
      </c>
      <c r="C141" s="1">
        <v>70.0</v>
      </c>
      <c r="E141" s="1" t="s">
        <v>156</v>
      </c>
      <c r="J141" s="1" t="s">
        <v>43</v>
      </c>
      <c r="M141" s="38"/>
    </row>
    <row r="142">
      <c r="A142" s="1" t="s">
        <v>219</v>
      </c>
      <c r="B142" s="1">
        <v>21.0</v>
      </c>
      <c r="C142" s="1">
        <v>50.0</v>
      </c>
      <c r="E142" s="1" t="s">
        <v>156</v>
      </c>
      <c r="J142" s="1" t="s">
        <v>43</v>
      </c>
      <c r="M142" s="38"/>
    </row>
    <row r="143">
      <c r="A143" s="1" t="s">
        <v>220</v>
      </c>
      <c r="B143" s="1">
        <v>21.0</v>
      </c>
      <c r="C143" s="1">
        <v>40.0</v>
      </c>
      <c r="E143" s="1" t="s">
        <v>156</v>
      </c>
      <c r="J143" s="1" t="s">
        <v>43</v>
      </c>
      <c r="M143" s="38"/>
    </row>
    <row r="144">
      <c r="A144" s="1" t="s">
        <v>219</v>
      </c>
      <c r="B144" s="1">
        <v>22.0</v>
      </c>
      <c r="C144" s="1">
        <v>80.0</v>
      </c>
      <c r="E144" s="1" t="s">
        <v>156</v>
      </c>
      <c r="J144" s="1" t="s">
        <v>43</v>
      </c>
      <c r="M144" s="38"/>
    </row>
    <row r="145">
      <c r="A145" s="1" t="s">
        <v>221</v>
      </c>
      <c r="B145" s="1">
        <v>22.0</v>
      </c>
      <c r="C145" s="1">
        <v>150.0</v>
      </c>
      <c r="E145" s="1" t="s">
        <v>156</v>
      </c>
      <c r="J145" s="1" t="s">
        <v>43</v>
      </c>
      <c r="M145" s="38"/>
    </row>
    <row r="146">
      <c r="A146" s="1" t="s">
        <v>222</v>
      </c>
      <c r="B146" s="1">
        <v>22.0</v>
      </c>
      <c r="C146" s="1">
        <v>20.0</v>
      </c>
      <c r="E146" s="1" t="s">
        <v>156</v>
      </c>
      <c r="J146" s="1" t="s">
        <v>43</v>
      </c>
      <c r="M146" s="38"/>
    </row>
    <row r="147">
      <c r="A147" s="1" t="s">
        <v>223</v>
      </c>
      <c r="B147" s="1">
        <v>22.0</v>
      </c>
      <c r="C147" s="1">
        <f>100+200+750</f>
        <v>1050</v>
      </c>
      <c r="E147" s="1" t="s">
        <v>156</v>
      </c>
      <c r="J147" s="1" t="s">
        <v>43</v>
      </c>
      <c r="M147" s="38"/>
    </row>
    <row r="148">
      <c r="A148" s="1" t="s">
        <v>224</v>
      </c>
      <c r="B148" s="1">
        <v>23.0</v>
      </c>
      <c r="C148" s="1">
        <v>153.0</v>
      </c>
      <c r="E148" s="1" t="s">
        <v>156</v>
      </c>
      <c r="J148" s="1" t="s">
        <v>43</v>
      </c>
      <c r="M148" s="38"/>
    </row>
    <row r="149">
      <c r="A149" s="1" t="s">
        <v>216</v>
      </c>
      <c r="B149" s="1">
        <v>25.0</v>
      </c>
      <c r="C149" s="1">
        <v>19.84</v>
      </c>
      <c r="E149" s="1" t="s">
        <v>156</v>
      </c>
      <c r="J149" s="1" t="s">
        <v>43</v>
      </c>
      <c r="M149" s="38"/>
    </row>
    <row r="150">
      <c r="A150" s="1" t="s">
        <v>225</v>
      </c>
      <c r="B150" s="1">
        <v>26.0</v>
      </c>
      <c r="C150" s="1">
        <v>42.54</v>
      </c>
      <c r="E150" s="1" t="s">
        <v>156</v>
      </c>
      <c r="J150" s="1" t="s">
        <v>43</v>
      </c>
      <c r="M150" s="38"/>
    </row>
    <row r="151">
      <c r="A151" s="1" t="s">
        <v>226</v>
      </c>
      <c r="B151" s="1">
        <v>26.0</v>
      </c>
      <c r="C151" s="1">
        <v>6.2</v>
      </c>
      <c r="E151" s="1" t="s">
        <v>156</v>
      </c>
      <c r="J151" s="1" t="s">
        <v>43</v>
      </c>
      <c r="M151" s="38"/>
    </row>
    <row r="152">
      <c r="A152" s="1" t="s">
        <v>227</v>
      </c>
      <c r="B152" s="1">
        <v>26.0</v>
      </c>
      <c r="C152" s="1">
        <v>45.41</v>
      </c>
      <c r="E152" s="1" t="s">
        <v>156</v>
      </c>
      <c r="J152" s="1" t="s">
        <v>43</v>
      </c>
      <c r="M152" s="38"/>
    </row>
    <row r="153">
      <c r="A153" s="1" t="s">
        <v>228</v>
      </c>
      <c r="B153" s="1">
        <v>26.0</v>
      </c>
      <c r="C153" s="1">
        <v>9.9</v>
      </c>
      <c r="E153" s="1" t="s">
        <v>156</v>
      </c>
      <c r="J153" s="1" t="s">
        <v>43</v>
      </c>
      <c r="M153" s="38"/>
    </row>
    <row r="154">
      <c r="A154" s="1" t="s">
        <v>229</v>
      </c>
      <c r="B154" s="1">
        <v>23.0</v>
      </c>
      <c r="C154" s="1">
        <v>94.65</v>
      </c>
      <c r="E154" s="1" t="s">
        <v>117</v>
      </c>
      <c r="J154" s="1" t="s">
        <v>43</v>
      </c>
      <c r="M154" s="38"/>
    </row>
    <row r="155">
      <c r="A155" s="1" t="s">
        <v>230</v>
      </c>
      <c r="B155" s="1">
        <v>23.0</v>
      </c>
      <c r="C155" s="1">
        <v>1.5</v>
      </c>
      <c r="E155" s="1" t="s">
        <v>117</v>
      </c>
      <c r="J155" s="1" t="s">
        <v>43</v>
      </c>
      <c r="M155" s="38"/>
    </row>
    <row r="156">
      <c r="A156" s="1" t="s">
        <v>229</v>
      </c>
      <c r="B156" s="1">
        <v>22.0</v>
      </c>
      <c r="C156" s="1">
        <v>92.65</v>
      </c>
      <c r="E156" s="1" t="s">
        <v>117</v>
      </c>
      <c r="J156" s="1" t="s">
        <v>43</v>
      </c>
      <c r="M156" s="38"/>
    </row>
    <row r="157">
      <c r="A157" s="1" t="s">
        <v>231</v>
      </c>
      <c r="B157" s="1">
        <v>21.0</v>
      </c>
      <c r="C157" s="1">
        <v>46.0</v>
      </c>
      <c r="E157" s="1" t="s">
        <v>117</v>
      </c>
      <c r="J157" s="1" t="s">
        <v>43</v>
      </c>
      <c r="M157" s="38"/>
    </row>
    <row r="158">
      <c r="A158" s="1" t="s">
        <v>229</v>
      </c>
      <c r="B158" s="1">
        <v>21.0</v>
      </c>
      <c r="C158" s="1">
        <v>85.65</v>
      </c>
      <c r="E158" s="1" t="s">
        <v>117</v>
      </c>
      <c r="J158" s="1" t="s">
        <v>43</v>
      </c>
      <c r="M158" s="38"/>
    </row>
    <row r="159">
      <c r="A159" s="1" t="s">
        <v>229</v>
      </c>
      <c r="B159" s="1">
        <v>20.0</v>
      </c>
      <c r="C159" s="1">
        <v>72.99</v>
      </c>
      <c r="E159" s="1" t="s">
        <v>117</v>
      </c>
      <c r="J159" s="1" t="s">
        <v>43</v>
      </c>
      <c r="M159" s="38"/>
    </row>
    <row r="160">
      <c r="A160" s="1" t="s">
        <v>232</v>
      </c>
      <c r="B160" s="1">
        <v>16.0</v>
      </c>
      <c r="C160" s="1">
        <v>41.81</v>
      </c>
      <c r="E160" s="1" t="s">
        <v>117</v>
      </c>
      <c r="J160" s="1" t="s">
        <v>44</v>
      </c>
      <c r="M160" s="38"/>
    </row>
    <row r="161">
      <c r="A161" s="1" t="s">
        <v>233</v>
      </c>
      <c r="B161" s="1">
        <v>16.0</v>
      </c>
      <c r="C161" s="1">
        <v>820.09</v>
      </c>
      <c r="E161" s="1" t="s">
        <v>117</v>
      </c>
      <c r="J161" s="1" t="s">
        <v>28</v>
      </c>
      <c r="M161" s="38"/>
    </row>
    <row r="162">
      <c r="A162" s="1" t="s">
        <v>234</v>
      </c>
      <c r="B162" s="1">
        <v>15.0</v>
      </c>
      <c r="C162" s="1">
        <f>1191.46+284.38</f>
        <v>1475.84</v>
      </c>
      <c r="E162" s="1" t="s">
        <v>117</v>
      </c>
      <c r="J162" s="1" t="s">
        <v>43</v>
      </c>
      <c r="M162" s="38"/>
    </row>
    <row r="163">
      <c r="A163" s="1" t="s">
        <v>235</v>
      </c>
      <c r="B163" s="1">
        <v>11.0</v>
      </c>
      <c r="C163" s="1">
        <f>44.21-26.94</f>
        <v>17.27</v>
      </c>
      <c r="E163" s="1" t="s">
        <v>117</v>
      </c>
      <c r="J163" s="1" t="s">
        <v>34</v>
      </c>
      <c r="M163" s="38"/>
    </row>
    <row r="164">
      <c r="J164" s="14"/>
      <c r="M164" s="38"/>
    </row>
    <row r="165">
      <c r="B165" s="1"/>
      <c r="C165" s="1"/>
      <c r="J165" s="14"/>
      <c r="M165" s="38"/>
    </row>
    <row r="166">
      <c r="A166" s="1"/>
      <c r="B166" s="1"/>
      <c r="C166" s="1"/>
      <c r="J166" s="14"/>
      <c r="M166" s="38"/>
    </row>
    <row r="167">
      <c r="A167" s="1" t="s">
        <v>236</v>
      </c>
      <c r="C167" s="1">
        <f>('Resumo 2023'!C68)*0.3-(250)</f>
        <v>2899.115</v>
      </c>
      <c r="M167" s="38"/>
    </row>
    <row r="168">
      <c r="A168" s="1" t="s">
        <v>50</v>
      </c>
      <c r="C168" s="8">
        <f>SUM(C2:C163)</f>
        <v>21578.64</v>
      </c>
      <c r="D168" s="8">
        <f>('Resumo 2023'!AA68)-C168-C167</f>
        <v>-13980.705</v>
      </c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E179" s="43" t="s">
        <v>239</v>
      </c>
      <c r="F179" s="44">
        <f>SUMIF(D2:D118,"pg",C2:C118)</f>
        <v>10877.56</v>
      </c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6" t="s">
        <v>240</v>
      </c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  <row r="1038">
      <c r="M1038" s="38"/>
    </row>
    <row r="1039">
      <c r="M1039" s="38"/>
    </row>
    <row r="1040">
      <c r="M1040" s="38"/>
    </row>
    <row r="1041">
      <c r="M1041" s="38"/>
    </row>
    <row r="1042">
      <c r="M1042" s="38"/>
    </row>
    <row r="1043">
      <c r="M1043" s="38"/>
    </row>
    <row r="1044">
      <c r="M1044" s="38"/>
    </row>
    <row r="1045">
      <c r="M1045" s="38"/>
    </row>
    <row r="1046">
      <c r="M1046" s="38"/>
    </row>
    <row r="1047">
      <c r="M1047" s="38"/>
    </row>
    <row r="1048">
      <c r="M1048" s="38"/>
    </row>
    <row r="1049">
      <c r="M1049" s="38"/>
    </row>
    <row r="1050">
      <c r="M1050" s="38"/>
    </row>
    <row r="1051">
      <c r="M1051" s="38"/>
    </row>
    <row r="1052">
      <c r="M1052" s="38"/>
    </row>
    <row r="1053">
      <c r="M1053" s="38"/>
    </row>
    <row r="1054">
      <c r="M1054" s="38"/>
    </row>
    <row r="1055">
      <c r="M1055" s="38"/>
    </row>
    <row r="1056">
      <c r="M1056" s="38"/>
    </row>
    <row r="1057">
      <c r="M1057" s="38"/>
    </row>
    <row r="1058">
      <c r="M1058" s="38"/>
    </row>
    <row r="1059">
      <c r="M1059" s="38"/>
    </row>
    <row r="1060">
      <c r="M1060" s="38"/>
    </row>
    <row r="1061">
      <c r="M1061" s="38"/>
    </row>
    <row r="1062">
      <c r="M1062" s="38"/>
    </row>
    <row r="1063">
      <c r="M1063" s="38"/>
    </row>
    <row r="1064">
      <c r="M1064" s="38"/>
    </row>
    <row r="1065">
      <c r="M1065" s="38"/>
    </row>
    <row r="1066">
      <c r="M1066" s="38"/>
    </row>
    <row r="1067">
      <c r="M1067" s="38"/>
    </row>
    <row r="1068">
      <c r="M1068" s="38"/>
    </row>
    <row r="1069">
      <c r="M1069" s="38"/>
    </row>
    <row r="1070">
      <c r="M1070" s="38"/>
    </row>
    <row r="1071">
      <c r="M1071" s="38"/>
    </row>
    <row r="1072">
      <c r="M1072" s="38"/>
    </row>
    <row r="1073">
      <c r="M1073" s="38"/>
    </row>
    <row r="1074">
      <c r="M1074" s="38"/>
    </row>
    <row r="1075">
      <c r="M1075" s="38"/>
    </row>
    <row r="1076">
      <c r="M1076" s="38"/>
    </row>
    <row r="1077">
      <c r="M1077" s="38"/>
    </row>
    <row r="1078">
      <c r="M1078" s="38"/>
    </row>
    <row r="1079">
      <c r="M1079" s="38"/>
    </row>
    <row r="1080">
      <c r="M1080" s="38"/>
    </row>
    <row r="1081">
      <c r="M1081" s="38"/>
    </row>
    <row r="1082">
      <c r="M1082" s="38"/>
    </row>
    <row r="1083">
      <c r="M1083" s="38"/>
    </row>
    <row r="1084">
      <c r="M1084" s="38"/>
    </row>
    <row r="1085">
      <c r="M1085" s="38"/>
    </row>
    <row r="1086">
      <c r="M1086" s="38"/>
    </row>
    <row r="1087">
      <c r="M1087" s="38"/>
    </row>
    <row r="1088">
      <c r="M1088" s="38"/>
    </row>
    <row r="1089">
      <c r="M1089" s="38"/>
    </row>
    <row r="1090">
      <c r="M1090" s="38"/>
    </row>
    <row r="1091">
      <c r="M1091" s="38"/>
    </row>
    <row r="1092">
      <c r="M1092" s="38"/>
    </row>
    <row r="1093">
      <c r="M1093" s="38"/>
    </row>
    <row r="1094">
      <c r="M1094" s="38"/>
    </row>
    <row r="1095">
      <c r="M1095" s="38"/>
    </row>
  </sheetData>
  <autoFilter ref="$A$1:$BV$165"/>
  <conditionalFormatting sqref="B218">
    <cfRule type="cellIs" dxfId="1" priority="1" operator="greaterThanOrEqual">
      <formula>0</formula>
    </cfRule>
  </conditionalFormatting>
  <conditionalFormatting sqref="B218">
    <cfRule type="cellIs" dxfId="2" priority="2" operator="lessThan">
      <formula>0</formula>
    </cfRule>
  </conditionalFormatting>
  <dataValidations>
    <dataValidation type="list" allowBlank="1" showErrorMessage="1" sqref="J2:J166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veicular,ferias,projetos,dentista,pix aline,painel solar,reforma casa,boleto"</formula1>
    </dataValidation>
  </dataValidation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14.63"/>
    <col customWidth="1" min="5" max="5" width="16.38"/>
  </cols>
  <sheetData>
    <row r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850.0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104</v>
      </c>
      <c r="B4" s="1">
        <v>5.0</v>
      </c>
      <c r="C4" s="37">
        <v>0.0</v>
      </c>
      <c r="D4" s="1" t="s">
        <v>96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>
      <c r="A5" s="2" t="s">
        <v>106</v>
      </c>
      <c r="B5" s="2">
        <v>14.0</v>
      </c>
      <c r="C5" s="40">
        <v>118.0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132.76</v>
      </c>
      <c r="D6" s="1" t="s">
        <v>112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113</v>
      </c>
      <c r="B7" s="1">
        <v>25.0</v>
      </c>
      <c r="C7" s="37">
        <v>99.9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5.0</v>
      </c>
      <c r="C10" s="37">
        <v>0.0</v>
      </c>
      <c r="D10" s="1" t="s">
        <v>96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24.9</v>
      </c>
      <c r="D11" s="1" t="s">
        <v>96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0.0</v>
      </c>
      <c r="D12" s="1" t="s">
        <v>120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96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244.12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  <c r="N16" s="42">
        <v>45992.0</v>
      </c>
    </row>
    <row r="17">
      <c r="A17" s="1" t="s">
        <v>130</v>
      </c>
      <c r="B17" s="1">
        <v>27.0</v>
      </c>
      <c r="C17" s="37">
        <f>89.9+139.9</f>
        <v>229.8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10.0</v>
      </c>
      <c r="C18" s="37">
        <v>20.0</v>
      </c>
      <c r="D18" s="1" t="s">
        <v>112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45</v>
      </c>
      <c r="B19" s="1">
        <v>8.0</v>
      </c>
      <c r="C19" s="1">
        <v>500.0</v>
      </c>
      <c r="D19" s="1" t="s">
        <v>96</v>
      </c>
      <c r="E19" s="1" t="s">
        <v>132</v>
      </c>
      <c r="G19" s="1" t="s">
        <v>98</v>
      </c>
      <c r="H19" s="1" t="s">
        <v>109</v>
      </c>
      <c r="J19" s="1" t="s">
        <v>45</v>
      </c>
      <c r="M19" s="38"/>
    </row>
    <row r="20">
      <c r="B20" s="1">
        <v>15.0</v>
      </c>
      <c r="D20" s="1" t="s">
        <v>96</v>
      </c>
      <c r="E20" s="1" t="s">
        <v>132</v>
      </c>
      <c r="G20" s="1" t="s">
        <v>98</v>
      </c>
      <c r="H20" s="1" t="s">
        <v>109</v>
      </c>
      <c r="J20" s="1" t="s">
        <v>16</v>
      </c>
      <c r="M20" s="38"/>
    </row>
    <row r="21">
      <c r="B21" s="1">
        <v>6.0</v>
      </c>
      <c r="D21" s="1" t="s">
        <v>112</v>
      </c>
      <c r="E21" s="1" t="s">
        <v>133</v>
      </c>
      <c r="G21" s="1" t="s">
        <v>98</v>
      </c>
      <c r="H21" s="1" t="s">
        <v>109</v>
      </c>
      <c r="J21" s="1" t="s">
        <v>48</v>
      </c>
      <c r="M21" s="38"/>
    </row>
    <row r="22">
      <c r="A22" s="1" t="s">
        <v>241</v>
      </c>
      <c r="B22" s="1">
        <v>17.0</v>
      </c>
      <c r="C22" s="1">
        <v>777.56</v>
      </c>
      <c r="D22" s="1" t="s">
        <v>112</v>
      </c>
      <c r="E22" s="1" t="s">
        <v>133</v>
      </c>
      <c r="G22" s="1" t="s">
        <v>98</v>
      </c>
      <c r="H22" s="1" t="s">
        <v>109</v>
      </c>
      <c r="J22" s="1" t="s">
        <v>46</v>
      </c>
      <c r="M22" s="38"/>
    </row>
    <row r="23">
      <c r="A23" s="1" t="s">
        <v>135</v>
      </c>
      <c r="B23" s="1">
        <v>10.0</v>
      </c>
      <c r="C23" s="1">
        <v>60.0</v>
      </c>
      <c r="D23" s="1" t="s">
        <v>112</v>
      </c>
      <c r="E23" s="1" t="s">
        <v>132</v>
      </c>
      <c r="G23" s="1" t="s">
        <v>98</v>
      </c>
      <c r="H23" s="1" t="s">
        <v>109</v>
      </c>
      <c r="J23" s="1" t="s">
        <v>34</v>
      </c>
      <c r="K23" s="42"/>
      <c r="M23" s="38"/>
    </row>
    <row r="24">
      <c r="A24" s="1" t="s">
        <v>242</v>
      </c>
      <c r="B24" s="1">
        <v>0.0</v>
      </c>
      <c r="C24" s="22">
        <v>53.73</v>
      </c>
      <c r="D24" s="1" t="s">
        <v>96</v>
      </c>
      <c r="E24" s="1" t="s">
        <v>132</v>
      </c>
      <c r="G24" s="1" t="s">
        <v>98</v>
      </c>
      <c r="H24" s="1" t="s">
        <v>109</v>
      </c>
      <c r="J24" s="1" t="s">
        <v>18</v>
      </c>
      <c r="M24" s="38"/>
      <c r="N24" s="42">
        <v>45324.0</v>
      </c>
    </row>
    <row r="25">
      <c r="A25" s="1" t="s">
        <v>243</v>
      </c>
      <c r="B25" s="1">
        <v>0.0</v>
      </c>
      <c r="C25" s="1">
        <v>24.0</v>
      </c>
      <c r="D25" s="1" t="s">
        <v>96</v>
      </c>
      <c r="E25" s="1" t="s">
        <v>133</v>
      </c>
      <c r="G25" s="1" t="s">
        <v>98</v>
      </c>
      <c r="H25" s="1" t="s">
        <v>109</v>
      </c>
      <c r="J25" s="1" t="s">
        <v>24</v>
      </c>
      <c r="M25" s="38"/>
    </row>
    <row r="26">
      <c r="A26" s="1" t="s">
        <v>244</v>
      </c>
      <c r="B26" s="1">
        <v>0.0</v>
      </c>
      <c r="C26" s="1">
        <v>69.98</v>
      </c>
      <c r="D26" s="1" t="s">
        <v>96</v>
      </c>
      <c r="E26" s="1" t="s">
        <v>133</v>
      </c>
      <c r="G26" s="1" t="s">
        <v>98</v>
      </c>
      <c r="J26" s="1" t="s">
        <v>30</v>
      </c>
      <c r="M26" s="38"/>
      <c r="N26" s="42">
        <v>45354.0</v>
      </c>
    </row>
    <row r="27">
      <c r="A27" s="1" t="s">
        <v>245</v>
      </c>
      <c r="B27" s="1">
        <v>0.0</v>
      </c>
      <c r="C27" s="1">
        <v>49.9</v>
      </c>
      <c r="D27" s="1" t="s">
        <v>96</v>
      </c>
      <c r="E27" s="1" t="s">
        <v>133</v>
      </c>
      <c r="G27" s="1" t="s">
        <v>98</v>
      </c>
      <c r="H27" s="1" t="s">
        <v>109</v>
      </c>
      <c r="J27" s="1" t="s">
        <v>40</v>
      </c>
      <c r="M27" s="38"/>
    </row>
    <row r="28">
      <c r="A28" s="1" t="s">
        <v>154</v>
      </c>
      <c r="B28" s="1">
        <v>0.0</v>
      </c>
      <c r="C28" s="1">
        <v>9.0</v>
      </c>
      <c r="D28" s="1" t="s">
        <v>96</v>
      </c>
      <c r="E28" s="1" t="s">
        <v>133</v>
      </c>
      <c r="G28" s="1" t="s">
        <v>98</v>
      </c>
      <c r="J28" s="1" t="s">
        <v>39</v>
      </c>
      <c r="M28" s="38"/>
    </row>
    <row r="29">
      <c r="A29" s="1" t="s">
        <v>154</v>
      </c>
      <c r="B29" s="1">
        <v>1.0</v>
      </c>
      <c r="C29" s="1">
        <v>3.0</v>
      </c>
      <c r="D29" s="1" t="s">
        <v>96</v>
      </c>
      <c r="E29" s="1" t="s">
        <v>133</v>
      </c>
      <c r="G29" s="1" t="s">
        <v>98</v>
      </c>
      <c r="J29" s="1" t="s">
        <v>29</v>
      </c>
      <c r="M29" s="38"/>
      <c r="N29" s="42">
        <v>45872.0</v>
      </c>
    </row>
    <row r="30">
      <c r="A30" s="1" t="s">
        <v>246</v>
      </c>
      <c r="B30" s="1">
        <v>1.0</v>
      </c>
      <c r="C30" s="1">
        <v>76.8</v>
      </c>
      <c r="D30" s="1" t="s">
        <v>96</v>
      </c>
      <c r="E30" s="1" t="s">
        <v>133</v>
      </c>
      <c r="G30" s="1" t="s">
        <v>98</v>
      </c>
      <c r="J30" s="1" t="s">
        <v>32</v>
      </c>
      <c r="M30" s="38"/>
      <c r="N30" s="42">
        <v>45993.0</v>
      </c>
    </row>
    <row r="31">
      <c r="A31" s="1" t="s">
        <v>247</v>
      </c>
      <c r="B31" s="1">
        <v>1.0</v>
      </c>
      <c r="C31" s="1">
        <v>3.49</v>
      </c>
      <c r="D31" s="1" t="s">
        <v>96</v>
      </c>
      <c r="E31" s="1" t="s">
        <v>133</v>
      </c>
      <c r="G31" s="1" t="s">
        <v>118</v>
      </c>
      <c r="H31" s="1" t="s">
        <v>109</v>
      </c>
      <c r="J31" s="1" t="s">
        <v>29</v>
      </c>
      <c r="M31" s="38"/>
    </row>
    <row r="32">
      <c r="A32" s="1" t="s">
        <v>248</v>
      </c>
      <c r="B32" s="1">
        <v>2.0</v>
      </c>
      <c r="C32" s="1">
        <v>10.0</v>
      </c>
      <c r="D32" s="1" t="s">
        <v>96</v>
      </c>
      <c r="E32" s="1" t="s">
        <v>133</v>
      </c>
      <c r="G32" s="1" t="s">
        <v>98</v>
      </c>
      <c r="J32" s="1" t="s">
        <v>34</v>
      </c>
      <c r="M32" s="38"/>
    </row>
    <row r="33">
      <c r="A33" s="1" t="s">
        <v>249</v>
      </c>
      <c r="B33" s="1">
        <v>3.0</v>
      </c>
      <c r="C33" s="1">
        <v>31.58</v>
      </c>
      <c r="D33" s="1" t="s">
        <v>96</v>
      </c>
      <c r="E33" s="1" t="s">
        <v>133</v>
      </c>
      <c r="G33" s="1" t="s">
        <v>98</v>
      </c>
      <c r="J33" s="1" t="s">
        <v>25</v>
      </c>
      <c r="M33" s="38"/>
    </row>
    <row r="34">
      <c r="A34" s="1" t="s">
        <v>250</v>
      </c>
      <c r="B34" s="1">
        <v>3.0</v>
      </c>
      <c r="C34" s="1">
        <v>19.41</v>
      </c>
      <c r="D34" s="1" t="s">
        <v>96</v>
      </c>
      <c r="E34" s="1" t="s">
        <v>133</v>
      </c>
      <c r="G34" s="1" t="s">
        <v>98</v>
      </c>
      <c r="J34" s="1" t="s">
        <v>24</v>
      </c>
      <c r="M34" s="38"/>
    </row>
    <row r="35">
      <c r="A35" s="1" t="s">
        <v>251</v>
      </c>
      <c r="B35" s="1">
        <v>5.0</v>
      </c>
      <c r="C35" s="1">
        <v>6.25</v>
      </c>
      <c r="D35" s="1" t="s">
        <v>96</v>
      </c>
      <c r="E35" s="1" t="s">
        <v>133</v>
      </c>
      <c r="G35" s="1" t="s">
        <v>98</v>
      </c>
      <c r="J35" s="1" t="s">
        <v>24</v>
      </c>
      <c r="M35" s="38"/>
    </row>
    <row r="36">
      <c r="A36" s="1" t="s">
        <v>242</v>
      </c>
      <c r="B36" s="1">
        <v>6.0</v>
      </c>
      <c r="C36" s="1">
        <v>61.01</v>
      </c>
      <c r="D36" s="1" t="s">
        <v>96</v>
      </c>
      <c r="E36" s="1" t="s">
        <v>133</v>
      </c>
      <c r="G36" s="1" t="s">
        <v>98</v>
      </c>
      <c r="J36" s="1" t="s">
        <v>18</v>
      </c>
      <c r="M36" s="38"/>
    </row>
    <row r="37">
      <c r="A37" s="1" t="s">
        <v>252</v>
      </c>
      <c r="B37" s="1">
        <v>6.0</v>
      </c>
      <c r="C37" s="1">
        <v>47.97</v>
      </c>
      <c r="D37" s="1" t="s">
        <v>96</v>
      </c>
      <c r="E37" s="1" t="s">
        <v>133</v>
      </c>
      <c r="G37" s="1" t="s">
        <v>98</v>
      </c>
      <c r="J37" s="1" t="s">
        <v>29</v>
      </c>
      <c r="M37" s="38"/>
    </row>
    <row r="38">
      <c r="A38" s="1" t="s">
        <v>154</v>
      </c>
      <c r="B38" s="1">
        <v>7.0</v>
      </c>
      <c r="C38" s="1">
        <v>9.0</v>
      </c>
      <c r="D38" s="1" t="s">
        <v>96</v>
      </c>
      <c r="E38" s="1" t="s">
        <v>133</v>
      </c>
      <c r="G38" s="1" t="s">
        <v>98</v>
      </c>
      <c r="J38" s="1" t="s">
        <v>39</v>
      </c>
      <c r="M38" s="36" t="s">
        <v>43</v>
      </c>
    </row>
    <row r="39">
      <c r="A39" s="1" t="s">
        <v>253</v>
      </c>
      <c r="B39" s="1">
        <v>7.0</v>
      </c>
      <c r="C39" s="1">
        <v>77.8</v>
      </c>
      <c r="D39" s="1" t="s">
        <v>96</v>
      </c>
      <c r="E39" s="1" t="s">
        <v>133</v>
      </c>
      <c r="G39" s="1" t="s">
        <v>98</v>
      </c>
      <c r="J39" s="1" t="s">
        <v>34</v>
      </c>
      <c r="M39" s="38"/>
    </row>
    <row r="40">
      <c r="A40" s="1" t="s">
        <v>254</v>
      </c>
      <c r="B40" s="1">
        <v>8.0</v>
      </c>
      <c r="C40" s="1">
        <v>50.93</v>
      </c>
      <c r="D40" s="1" t="s">
        <v>96</v>
      </c>
      <c r="E40" s="1" t="s">
        <v>133</v>
      </c>
      <c r="G40" s="1" t="s">
        <v>98</v>
      </c>
      <c r="J40" s="1" t="s">
        <v>32</v>
      </c>
      <c r="M40" s="38"/>
    </row>
    <row r="41">
      <c r="A41" s="1" t="s">
        <v>233</v>
      </c>
      <c r="B41" s="1">
        <v>8.0</v>
      </c>
      <c r="C41" s="1">
        <v>299.99</v>
      </c>
      <c r="D41" s="1" t="s">
        <v>96</v>
      </c>
      <c r="E41" s="1" t="s">
        <v>133</v>
      </c>
      <c r="G41" s="1" t="s">
        <v>98</v>
      </c>
      <c r="J41" s="1" t="s">
        <v>28</v>
      </c>
      <c r="M41" s="38"/>
    </row>
    <row r="42">
      <c r="A42" s="1" t="s">
        <v>255</v>
      </c>
      <c r="B42" s="1">
        <v>10.0</v>
      </c>
      <c r="C42" s="1">
        <v>336.0</v>
      </c>
      <c r="D42" s="1" t="s">
        <v>96</v>
      </c>
      <c r="E42" s="1" t="s">
        <v>133</v>
      </c>
      <c r="G42" s="1" t="s">
        <v>98</v>
      </c>
      <c r="J42" s="1" t="s">
        <v>38</v>
      </c>
      <c r="L42" s="42"/>
      <c r="M42" s="38"/>
    </row>
    <row r="43">
      <c r="A43" s="1" t="s">
        <v>255</v>
      </c>
      <c r="B43" s="1">
        <v>10.0</v>
      </c>
      <c r="C43" s="1">
        <v>10.0</v>
      </c>
      <c r="D43" s="1" t="s">
        <v>96</v>
      </c>
      <c r="E43" s="1" t="s">
        <v>133</v>
      </c>
      <c r="G43" s="1" t="s">
        <v>98</v>
      </c>
      <c r="J43" s="1" t="s">
        <v>38</v>
      </c>
      <c r="M43" s="38"/>
    </row>
    <row r="44">
      <c r="A44" s="1" t="s">
        <v>256</v>
      </c>
      <c r="B44" s="1">
        <v>10.0</v>
      </c>
      <c r="C44" s="1">
        <v>150.0</v>
      </c>
      <c r="D44" s="1" t="s">
        <v>96</v>
      </c>
      <c r="E44" s="1" t="s">
        <v>133</v>
      </c>
      <c r="G44" s="1" t="s">
        <v>98</v>
      </c>
      <c r="J44" s="1" t="s">
        <v>38</v>
      </c>
      <c r="M44" s="38"/>
    </row>
    <row r="45">
      <c r="A45" s="1" t="s">
        <v>257</v>
      </c>
      <c r="B45" s="1">
        <v>3.0</v>
      </c>
      <c r="C45" s="1">
        <v>24.66</v>
      </c>
      <c r="D45" s="1" t="s">
        <v>96</v>
      </c>
      <c r="E45" s="1" t="s">
        <v>156</v>
      </c>
      <c r="G45" s="1" t="s">
        <v>98</v>
      </c>
      <c r="J45" s="1" t="s">
        <v>44</v>
      </c>
      <c r="M45" s="38"/>
    </row>
    <row r="46">
      <c r="A46" s="1" t="s">
        <v>257</v>
      </c>
      <c r="B46" s="1">
        <v>3.0</v>
      </c>
      <c r="C46" s="1">
        <v>457.19</v>
      </c>
      <c r="D46" s="1" t="s">
        <v>96</v>
      </c>
      <c r="E46" s="1" t="s">
        <v>156</v>
      </c>
      <c r="G46" s="1" t="s">
        <v>98</v>
      </c>
      <c r="J46" s="1" t="s">
        <v>44</v>
      </c>
      <c r="M46" s="38"/>
    </row>
    <row r="47">
      <c r="A47" s="1" t="s">
        <v>258</v>
      </c>
      <c r="B47" s="1">
        <v>6.0</v>
      </c>
      <c r="C47" s="1">
        <v>20.0</v>
      </c>
      <c r="D47" s="1" t="s">
        <v>96</v>
      </c>
      <c r="E47" s="1" t="s">
        <v>156</v>
      </c>
      <c r="G47" s="1" t="s">
        <v>98</v>
      </c>
      <c r="J47" s="1" t="s">
        <v>21</v>
      </c>
      <c r="M47" s="38"/>
    </row>
    <row r="48">
      <c r="A48" s="1" t="s">
        <v>259</v>
      </c>
      <c r="B48" s="1">
        <v>6.0</v>
      </c>
      <c r="C48" s="1">
        <v>7.0</v>
      </c>
      <c r="D48" s="1" t="s">
        <v>96</v>
      </c>
      <c r="E48" s="1" t="s">
        <v>156</v>
      </c>
      <c r="G48" s="1" t="s">
        <v>98</v>
      </c>
      <c r="J48" s="1" t="s">
        <v>20</v>
      </c>
      <c r="M48" s="38"/>
    </row>
    <row r="49">
      <c r="A49" s="1" t="s">
        <v>260</v>
      </c>
      <c r="B49" s="1">
        <v>10.0</v>
      </c>
      <c r="C49" s="1">
        <v>120.0</v>
      </c>
      <c r="D49" s="1" t="s">
        <v>96</v>
      </c>
      <c r="E49" s="1" t="s">
        <v>156</v>
      </c>
      <c r="G49" s="1" t="s">
        <v>98</v>
      </c>
      <c r="J49" s="1" t="s">
        <v>38</v>
      </c>
      <c r="M49" s="38"/>
    </row>
    <row r="50">
      <c r="A50" s="1" t="s">
        <v>261</v>
      </c>
      <c r="B50" s="1">
        <v>20.0</v>
      </c>
      <c r="C50" s="1">
        <v>83.33</v>
      </c>
      <c r="D50" s="1" t="s">
        <v>96</v>
      </c>
      <c r="E50" s="1" t="s">
        <v>133</v>
      </c>
      <c r="G50" s="1" t="s">
        <v>98</v>
      </c>
      <c r="J50" s="1" t="s">
        <v>39</v>
      </c>
      <c r="M50" s="38"/>
    </row>
    <row r="51">
      <c r="A51" s="1" t="s">
        <v>262</v>
      </c>
      <c r="B51" s="1">
        <v>11.0</v>
      </c>
      <c r="C51" s="1">
        <v>71.46</v>
      </c>
      <c r="D51" s="1" t="s">
        <v>96</v>
      </c>
      <c r="E51" s="1" t="s">
        <v>133</v>
      </c>
      <c r="G51" s="1" t="s">
        <v>98</v>
      </c>
      <c r="J51" s="1" t="s">
        <v>25</v>
      </c>
      <c r="M51" s="38"/>
    </row>
    <row r="52">
      <c r="A52" s="1" t="s">
        <v>263</v>
      </c>
      <c r="B52" s="1">
        <v>11.0</v>
      </c>
      <c r="C52" s="1">
        <v>30.9</v>
      </c>
      <c r="D52" s="1" t="s">
        <v>96</v>
      </c>
      <c r="E52" s="1" t="s">
        <v>133</v>
      </c>
      <c r="G52" s="1" t="s">
        <v>98</v>
      </c>
      <c r="J52" s="1" t="s">
        <v>28</v>
      </c>
      <c r="M52" s="38"/>
    </row>
    <row r="53">
      <c r="A53" s="1" t="s">
        <v>247</v>
      </c>
      <c r="B53" s="1">
        <v>11.0</v>
      </c>
      <c r="C53" s="1">
        <v>185.28</v>
      </c>
      <c r="D53" s="1" t="s">
        <v>96</v>
      </c>
      <c r="E53" s="1" t="s">
        <v>133</v>
      </c>
      <c r="G53" s="1" t="s">
        <v>98</v>
      </c>
      <c r="J53" s="1" t="s">
        <v>29</v>
      </c>
      <c r="M53" s="38"/>
    </row>
    <row r="54">
      <c r="A54" s="1" t="s">
        <v>264</v>
      </c>
      <c r="B54" s="1">
        <v>12.0</v>
      </c>
      <c r="C54" s="1">
        <v>8.0</v>
      </c>
      <c r="D54" s="1" t="s">
        <v>96</v>
      </c>
      <c r="E54" s="1" t="s">
        <v>133</v>
      </c>
      <c r="G54" s="1" t="s">
        <v>98</v>
      </c>
      <c r="J54" s="1" t="s">
        <v>20</v>
      </c>
      <c r="M54" s="38"/>
    </row>
    <row r="55">
      <c r="A55" s="1" t="s">
        <v>242</v>
      </c>
      <c r="B55" s="1">
        <v>12.0</v>
      </c>
      <c r="C55" s="1">
        <v>60.0</v>
      </c>
      <c r="D55" s="1" t="s">
        <v>96</v>
      </c>
      <c r="E55" s="1" t="s">
        <v>133</v>
      </c>
      <c r="G55" s="1"/>
      <c r="J55" s="1" t="s">
        <v>18</v>
      </c>
      <c r="M55" s="38"/>
    </row>
    <row r="56">
      <c r="A56" s="1" t="s">
        <v>265</v>
      </c>
      <c r="B56" s="1">
        <v>13.0</v>
      </c>
      <c r="C56" s="1">
        <v>53.0</v>
      </c>
      <c r="D56" s="1" t="s">
        <v>96</v>
      </c>
      <c r="E56" s="1" t="s">
        <v>133</v>
      </c>
      <c r="G56" s="1"/>
      <c r="J56" s="1" t="s">
        <v>34</v>
      </c>
      <c r="M56" s="38"/>
    </row>
    <row r="57">
      <c r="A57" s="1" t="s">
        <v>266</v>
      </c>
      <c r="B57" s="1">
        <v>13.0</v>
      </c>
      <c r="C57" s="1">
        <v>28.0</v>
      </c>
      <c r="D57" s="1" t="s">
        <v>96</v>
      </c>
      <c r="E57" s="1" t="s">
        <v>133</v>
      </c>
      <c r="G57" s="1"/>
      <c r="J57" s="1" t="s">
        <v>32</v>
      </c>
      <c r="M57" s="38"/>
    </row>
    <row r="58">
      <c r="A58" s="1" t="s">
        <v>267</v>
      </c>
      <c r="B58" s="1">
        <v>14.0</v>
      </c>
      <c r="C58" s="1">
        <v>12.0</v>
      </c>
      <c r="D58" s="1" t="s">
        <v>96</v>
      </c>
      <c r="E58" s="1" t="s">
        <v>133</v>
      </c>
      <c r="G58" s="1"/>
      <c r="J58" s="1" t="s">
        <v>29</v>
      </c>
      <c r="M58" s="38"/>
    </row>
    <row r="59">
      <c r="A59" s="1" t="s">
        <v>268</v>
      </c>
      <c r="B59" s="1">
        <v>14.0</v>
      </c>
      <c r="C59" s="1">
        <v>70.05</v>
      </c>
      <c r="D59" s="1"/>
      <c r="E59" s="1" t="s">
        <v>133</v>
      </c>
      <c r="G59" s="1"/>
      <c r="J59" s="1" t="s">
        <v>29</v>
      </c>
      <c r="M59" s="38"/>
    </row>
    <row r="60">
      <c r="A60" s="1" t="s">
        <v>269</v>
      </c>
      <c r="B60" s="1">
        <v>14.0</v>
      </c>
      <c r="C60" s="1">
        <v>23.9</v>
      </c>
      <c r="D60" s="1" t="s">
        <v>96</v>
      </c>
      <c r="E60" s="1" t="s">
        <v>133</v>
      </c>
      <c r="G60" s="1"/>
      <c r="J60" s="1" t="s">
        <v>28</v>
      </c>
      <c r="M60" s="38"/>
    </row>
    <row r="61">
      <c r="A61" s="1" t="s">
        <v>269</v>
      </c>
      <c r="B61" s="1">
        <v>14.0</v>
      </c>
      <c r="C61" s="1">
        <v>138.9</v>
      </c>
      <c r="D61" s="1" t="s">
        <v>96</v>
      </c>
      <c r="E61" s="1" t="s">
        <v>133</v>
      </c>
      <c r="G61" s="1"/>
      <c r="J61" s="1" t="s">
        <v>28</v>
      </c>
      <c r="M61" s="38"/>
    </row>
    <row r="62">
      <c r="A62" s="1" t="s">
        <v>154</v>
      </c>
      <c r="B62" s="1">
        <v>15.0</v>
      </c>
      <c r="C62" s="1">
        <v>8.0</v>
      </c>
      <c r="D62" s="1" t="s">
        <v>96</v>
      </c>
      <c r="E62" s="1" t="s">
        <v>133</v>
      </c>
      <c r="G62" s="1"/>
      <c r="J62" s="1" t="s">
        <v>39</v>
      </c>
      <c r="M62" s="38"/>
    </row>
    <row r="63">
      <c r="A63" s="1" t="s">
        <v>165</v>
      </c>
      <c r="B63" s="1">
        <v>15.0</v>
      </c>
      <c r="C63" s="1">
        <v>176.47</v>
      </c>
      <c r="D63" s="1" t="s">
        <v>96</v>
      </c>
      <c r="E63" s="1" t="s">
        <v>133</v>
      </c>
      <c r="G63" s="1"/>
      <c r="J63" s="1" t="s">
        <v>29</v>
      </c>
      <c r="M63" s="38"/>
    </row>
    <row r="64">
      <c r="A64" s="1" t="s">
        <v>270</v>
      </c>
      <c r="B64" s="1">
        <v>15.0</v>
      </c>
      <c r="C64" s="1">
        <v>30.0</v>
      </c>
      <c r="D64" s="1" t="s">
        <v>96</v>
      </c>
      <c r="E64" s="1" t="s">
        <v>133</v>
      </c>
      <c r="G64" s="1"/>
      <c r="J64" s="1" t="s">
        <v>18</v>
      </c>
      <c r="M64" s="38"/>
    </row>
    <row r="65">
      <c r="A65" s="1" t="s">
        <v>270</v>
      </c>
      <c r="B65" s="1">
        <v>15.0</v>
      </c>
      <c r="C65" s="1">
        <v>30.0</v>
      </c>
      <c r="D65" s="1" t="s">
        <v>96</v>
      </c>
      <c r="E65" s="1" t="s">
        <v>133</v>
      </c>
      <c r="G65" s="1"/>
      <c r="J65" s="1" t="s">
        <v>18</v>
      </c>
      <c r="L65" s="42"/>
      <c r="M65" s="38"/>
    </row>
    <row r="66">
      <c r="A66" s="1" t="s">
        <v>25</v>
      </c>
      <c r="B66" s="1">
        <v>16.0</v>
      </c>
      <c r="C66" s="1">
        <v>19.98</v>
      </c>
      <c r="D66" s="1" t="s">
        <v>96</v>
      </c>
      <c r="E66" s="1" t="s">
        <v>133</v>
      </c>
      <c r="G66" s="1"/>
      <c r="J66" s="1" t="s">
        <v>25</v>
      </c>
      <c r="M66" s="38"/>
    </row>
    <row r="67">
      <c r="A67" s="1" t="s">
        <v>271</v>
      </c>
      <c r="B67" s="1">
        <v>16.0</v>
      </c>
      <c r="C67" s="1">
        <v>145.46</v>
      </c>
      <c r="D67" s="1" t="s">
        <v>96</v>
      </c>
      <c r="E67" s="1" t="s">
        <v>133</v>
      </c>
      <c r="J67" s="1" t="s">
        <v>29</v>
      </c>
      <c r="M67" s="38"/>
    </row>
    <row r="68">
      <c r="A68" s="1" t="s">
        <v>242</v>
      </c>
      <c r="B68" s="1">
        <v>18.0</v>
      </c>
      <c r="C68" s="1">
        <v>52.54</v>
      </c>
      <c r="D68" s="1" t="s">
        <v>96</v>
      </c>
      <c r="E68" s="1" t="s">
        <v>133</v>
      </c>
      <c r="J68" s="1" t="s">
        <v>18</v>
      </c>
      <c r="M68" s="38"/>
    </row>
    <row r="69">
      <c r="A69" s="1" t="s">
        <v>270</v>
      </c>
      <c r="B69" s="1">
        <v>18.0</v>
      </c>
      <c r="C69" s="1">
        <v>40.0</v>
      </c>
      <c r="D69" s="1" t="s">
        <v>96</v>
      </c>
      <c r="E69" s="1" t="s">
        <v>133</v>
      </c>
      <c r="J69" s="1" t="s">
        <v>18</v>
      </c>
      <c r="M69" s="38"/>
    </row>
    <row r="70">
      <c r="A70" s="1" t="s">
        <v>268</v>
      </c>
      <c r="B70" s="1">
        <v>18.0</v>
      </c>
      <c r="C70" s="1">
        <v>39.95</v>
      </c>
      <c r="D70" s="1" t="s">
        <v>96</v>
      </c>
      <c r="E70" s="1" t="s">
        <v>133</v>
      </c>
      <c r="J70" s="1" t="s">
        <v>29</v>
      </c>
      <c r="M70" s="38"/>
    </row>
    <row r="71">
      <c r="B71" s="1">
        <v>12.0</v>
      </c>
      <c r="C71" s="1">
        <v>0.0</v>
      </c>
      <c r="D71" s="1" t="s">
        <v>96</v>
      </c>
      <c r="E71" s="1" t="s">
        <v>117</v>
      </c>
      <c r="J71" s="1" t="s">
        <v>44</v>
      </c>
      <c r="M71" s="38"/>
    </row>
    <row r="72">
      <c r="B72" s="1">
        <v>23.0</v>
      </c>
      <c r="C72" s="1">
        <v>0.0</v>
      </c>
      <c r="D72" s="1" t="s">
        <v>96</v>
      </c>
      <c r="E72" s="1" t="s">
        <v>133</v>
      </c>
      <c r="J72" s="1" t="s">
        <v>28</v>
      </c>
      <c r="K72" s="42"/>
      <c r="M72" s="38"/>
    </row>
    <row r="73">
      <c r="B73" s="1">
        <v>15.0</v>
      </c>
      <c r="C73" s="1">
        <v>0.0</v>
      </c>
      <c r="D73" s="1" t="s">
        <v>96</v>
      </c>
      <c r="E73" s="1" t="s">
        <v>133</v>
      </c>
      <c r="J73" s="1" t="s">
        <v>35</v>
      </c>
      <c r="M73" s="38"/>
    </row>
    <row r="74">
      <c r="B74" s="1">
        <v>15.0</v>
      </c>
      <c r="C74" s="1">
        <v>0.0</v>
      </c>
      <c r="D74" s="1" t="s">
        <v>96</v>
      </c>
      <c r="E74" s="1" t="s">
        <v>133</v>
      </c>
      <c r="J74" s="1" t="s">
        <v>15</v>
      </c>
      <c r="M74" s="38"/>
    </row>
    <row r="75">
      <c r="B75" s="1">
        <v>15.0</v>
      </c>
      <c r="C75" s="1">
        <v>0.0</v>
      </c>
      <c r="D75" s="1" t="s">
        <v>96</v>
      </c>
      <c r="E75" s="1" t="s">
        <v>133</v>
      </c>
      <c r="J75" s="1" t="s">
        <v>34</v>
      </c>
      <c r="M75" s="38"/>
    </row>
    <row r="76">
      <c r="B76" s="1">
        <v>13.0</v>
      </c>
      <c r="C76" s="1">
        <v>0.0</v>
      </c>
      <c r="D76" s="1" t="s">
        <v>96</v>
      </c>
      <c r="E76" s="1" t="s">
        <v>133</v>
      </c>
      <c r="J76" s="1" t="s">
        <v>28</v>
      </c>
      <c r="M76" s="38"/>
    </row>
    <row r="77">
      <c r="B77" s="1">
        <v>17.0</v>
      </c>
      <c r="C77" s="1">
        <v>0.0</v>
      </c>
      <c r="D77" s="1" t="s">
        <v>96</v>
      </c>
      <c r="E77" s="1" t="s">
        <v>156</v>
      </c>
      <c r="J77" s="1" t="s">
        <v>31</v>
      </c>
      <c r="M77" s="38"/>
    </row>
    <row r="78">
      <c r="B78" s="1">
        <v>13.0</v>
      </c>
      <c r="C78" s="1">
        <v>0.0</v>
      </c>
      <c r="D78" s="1" t="s">
        <v>96</v>
      </c>
      <c r="E78" s="1" t="s">
        <v>133</v>
      </c>
      <c r="J78" s="1" t="s">
        <v>39</v>
      </c>
      <c r="M78" s="38"/>
    </row>
    <row r="79">
      <c r="B79" s="1">
        <v>15.0</v>
      </c>
      <c r="C79" s="1">
        <v>0.0</v>
      </c>
      <c r="D79" s="1" t="s">
        <v>96</v>
      </c>
      <c r="E79" s="1" t="s">
        <v>133</v>
      </c>
      <c r="J79" s="1" t="s">
        <v>18</v>
      </c>
      <c r="M79" s="38"/>
    </row>
    <row r="80">
      <c r="B80" s="1">
        <v>16.0</v>
      </c>
      <c r="C80" s="1">
        <v>0.0</v>
      </c>
      <c r="D80" s="1" t="s">
        <v>96</v>
      </c>
      <c r="E80" s="1" t="s">
        <v>133</v>
      </c>
      <c r="J80" s="1" t="s">
        <v>39</v>
      </c>
      <c r="M80" s="38"/>
    </row>
    <row r="81">
      <c r="B81" s="1">
        <v>19.0</v>
      </c>
      <c r="C81" s="1">
        <v>0.0</v>
      </c>
      <c r="D81" s="1" t="s">
        <v>96</v>
      </c>
      <c r="E81" s="1" t="s">
        <v>133</v>
      </c>
      <c r="J81" s="1" t="s">
        <v>31</v>
      </c>
      <c r="M81" s="38"/>
    </row>
    <row r="82">
      <c r="B82" s="1">
        <v>19.0</v>
      </c>
      <c r="C82" s="1">
        <v>0.0</v>
      </c>
      <c r="D82" s="1" t="s">
        <v>96</v>
      </c>
      <c r="E82" s="1" t="s">
        <v>133</v>
      </c>
      <c r="J82" s="1" t="s">
        <v>39</v>
      </c>
      <c r="M82" s="38"/>
    </row>
    <row r="83">
      <c r="B83" s="1">
        <v>19.0</v>
      </c>
      <c r="C83" s="1">
        <v>0.0</v>
      </c>
      <c r="D83" s="1" t="s">
        <v>96</v>
      </c>
      <c r="E83" s="1" t="s">
        <v>133</v>
      </c>
      <c r="J83" s="1" t="s">
        <v>34</v>
      </c>
      <c r="M83" s="38"/>
    </row>
    <row r="84">
      <c r="B84" s="1">
        <v>19.0</v>
      </c>
      <c r="C84" s="1">
        <v>0.0</v>
      </c>
      <c r="D84" s="1" t="s">
        <v>96</v>
      </c>
      <c r="E84" s="1" t="s">
        <v>133</v>
      </c>
      <c r="J84" s="1" t="s">
        <v>40</v>
      </c>
      <c r="M84" s="38"/>
    </row>
    <row r="85">
      <c r="B85" s="1">
        <v>19.0</v>
      </c>
      <c r="C85" s="1">
        <v>0.0</v>
      </c>
      <c r="D85" s="1" t="s">
        <v>96</v>
      </c>
      <c r="E85" s="1" t="s">
        <v>133</v>
      </c>
      <c r="J85" s="1" t="s">
        <v>29</v>
      </c>
      <c r="M85" s="38"/>
    </row>
    <row r="86">
      <c r="B86" s="1">
        <v>19.0</v>
      </c>
      <c r="C86" s="1">
        <v>0.0</v>
      </c>
      <c r="D86" s="1" t="s">
        <v>96</v>
      </c>
      <c r="E86" s="1" t="s">
        <v>133</v>
      </c>
      <c r="J86" s="1" t="s">
        <v>31</v>
      </c>
      <c r="M86" s="38"/>
    </row>
    <row r="87">
      <c r="B87" s="1">
        <v>20.0</v>
      </c>
      <c r="C87" s="1">
        <v>0.0</v>
      </c>
      <c r="D87" s="1" t="s">
        <v>96</v>
      </c>
      <c r="E87" s="1" t="s">
        <v>133</v>
      </c>
      <c r="J87" s="1" t="s">
        <v>39</v>
      </c>
      <c r="M87" s="38"/>
    </row>
    <row r="88">
      <c r="B88" s="1">
        <v>20.0</v>
      </c>
      <c r="C88" s="1">
        <v>0.0</v>
      </c>
      <c r="D88" s="1" t="s">
        <v>96</v>
      </c>
      <c r="E88" s="1" t="s">
        <v>133</v>
      </c>
      <c r="J88" s="1" t="s">
        <v>28</v>
      </c>
      <c r="M88" s="38"/>
    </row>
    <row r="89">
      <c r="B89" s="1">
        <v>24.0</v>
      </c>
      <c r="C89" s="1">
        <v>0.0</v>
      </c>
      <c r="D89" s="1" t="s">
        <v>96</v>
      </c>
      <c r="E89" s="1" t="s">
        <v>133</v>
      </c>
      <c r="J89" s="1" t="s">
        <v>24</v>
      </c>
      <c r="M89" s="38"/>
    </row>
    <row r="90">
      <c r="B90" s="1">
        <v>24.0</v>
      </c>
      <c r="C90" s="1">
        <v>0.0</v>
      </c>
      <c r="D90" s="1" t="s">
        <v>96</v>
      </c>
      <c r="E90" s="1" t="s">
        <v>133</v>
      </c>
      <c r="J90" s="1" t="s">
        <v>39</v>
      </c>
      <c r="M90" s="38"/>
    </row>
    <row r="91">
      <c r="B91" s="1">
        <v>24.0</v>
      </c>
      <c r="C91" s="1">
        <v>0.0</v>
      </c>
      <c r="D91" s="1" t="s">
        <v>96</v>
      </c>
      <c r="E91" s="1" t="s">
        <v>133</v>
      </c>
      <c r="J91" s="1" t="s">
        <v>29</v>
      </c>
      <c r="M91" s="38"/>
    </row>
    <row r="92">
      <c r="B92" s="1">
        <v>25.0</v>
      </c>
      <c r="C92" s="1">
        <v>0.0</v>
      </c>
      <c r="D92" s="1" t="s">
        <v>96</v>
      </c>
      <c r="E92" s="1" t="s">
        <v>133</v>
      </c>
      <c r="J92" s="1" t="s">
        <v>44</v>
      </c>
      <c r="M92" s="38"/>
    </row>
    <row r="93">
      <c r="B93" s="1">
        <v>26.0</v>
      </c>
      <c r="C93" s="1">
        <v>0.0</v>
      </c>
      <c r="D93" s="1" t="s">
        <v>96</v>
      </c>
      <c r="E93" s="1" t="s">
        <v>133</v>
      </c>
      <c r="J93" s="1" t="s">
        <v>18</v>
      </c>
      <c r="M93" s="38"/>
    </row>
    <row r="94">
      <c r="B94" s="1">
        <v>26.0</v>
      </c>
      <c r="C94" s="1">
        <v>0.0</v>
      </c>
      <c r="D94" s="1" t="s">
        <v>96</v>
      </c>
      <c r="E94" s="1" t="s">
        <v>133</v>
      </c>
      <c r="J94" s="1" t="s">
        <v>20</v>
      </c>
      <c r="M94" s="38"/>
    </row>
    <row r="95">
      <c r="B95" s="1">
        <v>26.0</v>
      </c>
      <c r="C95" s="1">
        <v>0.0</v>
      </c>
      <c r="D95" s="1" t="s">
        <v>96</v>
      </c>
      <c r="E95" s="1" t="s">
        <v>133</v>
      </c>
      <c r="J95" s="1" t="s">
        <v>32</v>
      </c>
      <c r="M95" s="38"/>
    </row>
    <row r="96">
      <c r="B96" s="1">
        <v>26.0</v>
      </c>
      <c r="C96" s="1">
        <v>0.0</v>
      </c>
      <c r="D96" s="1" t="s">
        <v>96</v>
      </c>
      <c r="E96" s="1" t="s">
        <v>133</v>
      </c>
      <c r="J96" s="1" t="s">
        <v>32</v>
      </c>
      <c r="M96" s="38"/>
    </row>
    <row r="97">
      <c r="B97" s="1">
        <v>26.0</v>
      </c>
      <c r="C97" s="1">
        <v>0.0</v>
      </c>
      <c r="D97" s="1" t="s">
        <v>96</v>
      </c>
      <c r="E97" s="1" t="s">
        <v>133</v>
      </c>
      <c r="J97" s="1" t="s">
        <v>31</v>
      </c>
      <c r="M97" s="38"/>
    </row>
    <row r="98">
      <c r="B98" s="1">
        <v>26.0</v>
      </c>
      <c r="C98" s="1">
        <v>0.0</v>
      </c>
      <c r="D98" s="1" t="s">
        <v>96</v>
      </c>
      <c r="E98" s="1" t="s">
        <v>133</v>
      </c>
      <c r="J98" s="1" t="s">
        <v>15</v>
      </c>
      <c r="M98" s="38"/>
    </row>
    <row r="99">
      <c r="B99" s="1">
        <v>26.0</v>
      </c>
      <c r="C99" s="1">
        <v>0.0</v>
      </c>
      <c r="D99" s="1" t="s">
        <v>96</v>
      </c>
      <c r="E99" s="1" t="s">
        <v>133</v>
      </c>
      <c r="J99" s="1" t="s">
        <v>34</v>
      </c>
      <c r="M99" s="38"/>
    </row>
    <row r="100">
      <c r="B100" s="1">
        <v>26.0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B101" s="1">
        <v>26.0</v>
      </c>
      <c r="C101" s="1">
        <v>0.0</v>
      </c>
      <c r="D101" s="1" t="s">
        <v>96</v>
      </c>
      <c r="E101" s="1" t="s">
        <v>133</v>
      </c>
      <c r="J101" s="1" t="s">
        <v>34</v>
      </c>
      <c r="M101" s="38"/>
    </row>
    <row r="102">
      <c r="B102" s="1">
        <v>27.0</v>
      </c>
      <c r="C102" s="1">
        <v>0.0</v>
      </c>
      <c r="D102" s="1" t="s">
        <v>96</v>
      </c>
      <c r="E102" s="1" t="s">
        <v>133</v>
      </c>
      <c r="J102" s="1" t="s">
        <v>39</v>
      </c>
      <c r="M102" s="38"/>
    </row>
    <row r="103">
      <c r="B103" s="1">
        <v>12.0</v>
      </c>
      <c r="C103" s="1">
        <v>0.0</v>
      </c>
      <c r="D103" s="1" t="s">
        <v>96</v>
      </c>
      <c r="E103" s="1" t="s">
        <v>117</v>
      </c>
      <c r="J103" s="1" t="s">
        <v>28</v>
      </c>
      <c r="M103" s="38"/>
    </row>
    <row r="104">
      <c r="B104" s="1">
        <v>14.0</v>
      </c>
      <c r="C104" s="1">
        <v>0.0</v>
      </c>
      <c r="D104" s="1" t="s">
        <v>96</v>
      </c>
      <c r="E104" s="1" t="s">
        <v>117</v>
      </c>
      <c r="J104" s="1" t="s">
        <v>28</v>
      </c>
      <c r="M104" s="38"/>
    </row>
    <row r="105">
      <c r="B105" s="1">
        <v>23.0</v>
      </c>
      <c r="C105" s="1">
        <v>0.0</v>
      </c>
      <c r="D105" s="1" t="s">
        <v>96</v>
      </c>
      <c r="E105" s="1" t="s">
        <v>133</v>
      </c>
      <c r="J105" s="1" t="s">
        <v>29</v>
      </c>
      <c r="M105" s="38"/>
    </row>
    <row r="106">
      <c r="B106" s="1">
        <v>24.0</v>
      </c>
      <c r="C106" s="1">
        <v>0.0</v>
      </c>
      <c r="D106" s="1" t="s">
        <v>96</v>
      </c>
      <c r="E106" s="1" t="s">
        <v>133</v>
      </c>
      <c r="J106" s="1" t="s">
        <v>32</v>
      </c>
      <c r="M106" s="38"/>
    </row>
    <row r="107">
      <c r="B107" s="1">
        <v>24.0</v>
      </c>
      <c r="C107" s="1">
        <v>0.0</v>
      </c>
      <c r="D107" s="1" t="s">
        <v>96</v>
      </c>
      <c r="E107" s="1" t="s">
        <v>133</v>
      </c>
      <c r="J107" s="1" t="s">
        <v>39</v>
      </c>
      <c r="M107" s="38"/>
    </row>
    <row r="108">
      <c r="B108" s="1">
        <v>24.0</v>
      </c>
      <c r="C108" s="1">
        <v>0.0</v>
      </c>
      <c r="D108" s="1" t="s">
        <v>96</v>
      </c>
      <c r="E108" s="1" t="s">
        <v>133</v>
      </c>
      <c r="J108" s="1" t="s">
        <v>42</v>
      </c>
      <c r="M108" s="38"/>
    </row>
    <row r="109">
      <c r="B109" s="1">
        <v>12.0</v>
      </c>
      <c r="C109" s="1">
        <v>0.0</v>
      </c>
      <c r="D109" s="1" t="s">
        <v>96</v>
      </c>
      <c r="E109" s="1" t="s">
        <v>156</v>
      </c>
      <c r="J109" s="1" t="s">
        <v>45</v>
      </c>
      <c r="M109" s="38"/>
    </row>
    <row r="110">
      <c r="B110" s="1">
        <v>9.0</v>
      </c>
      <c r="C110" s="1">
        <v>0.0</v>
      </c>
      <c r="D110" s="1" t="s">
        <v>96</v>
      </c>
      <c r="E110" s="1" t="s">
        <v>156</v>
      </c>
      <c r="J110" s="1" t="s">
        <v>45</v>
      </c>
      <c r="M110" s="38"/>
    </row>
    <row r="111">
      <c r="B111" s="1">
        <v>15.0</v>
      </c>
      <c r="C111" s="1">
        <v>0.0</v>
      </c>
      <c r="D111" s="1" t="s">
        <v>96</v>
      </c>
      <c r="E111" s="1" t="s">
        <v>156</v>
      </c>
      <c r="J111" s="1" t="s">
        <v>29</v>
      </c>
      <c r="M111" s="38"/>
    </row>
    <row r="112">
      <c r="B112" s="1">
        <v>15.0</v>
      </c>
      <c r="C112" s="1">
        <v>0.0</v>
      </c>
      <c r="D112" s="1" t="s">
        <v>96</v>
      </c>
      <c r="E112" s="1" t="s">
        <v>156</v>
      </c>
      <c r="J112" s="1" t="s">
        <v>15</v>
      </c>
      <c r="M112" s="38"/>
    </row>
    <row r="113">
      <c r="B113" s="1">
        <v>16.0</v>
      </c>
      <c r="C113" s="1">
        <v>0.0</v>
      </c>
      <c r="D113" s="1" t="s">
        <v>96</v>
      </c>
      <c r="E113" s="1" t="s">
        <v>156</v>
      </c>
      <c r="J113" s="1" t="s">
        <v>32</v>
      </c>
      <c r="M113" s="38"/>
    </row>
    <row r="114">
      <c r="B114" s="1">
        <v>16.0</v>
      </c>
      <c r="C114" s="1">
        <v>0.0</v>
      </c>
      <c r="D114" s="1" t="s">
        <v>96</v>
      </c>
      <c r="E114" s="1" t="s">
        <v>156</v>
      </c>
      <c r="J114" s="1" t="s">
        <v>20</v>
      </c>
      <c r="M114" s="38"/>
    </row>
    <row r="115">
      <c r="B115" s="1">
        <v>21.0</v>
      </c>
      <c r="C115" s="1">
        <v>0.0</v>
      </c>
      <c r="D115" s="1" t="s">
        <v>96</v>
      </c>
      <c r="E115" s="1" t="s">
        <v>156</v>
      </c>
      <c r="J115" s="1" t="s">
        <v>45</v>
      </c>
      <c r="M115" s="38"/>
    </row>
    <row r="116">
      <c r="B116" s="1">
        <v>27.0</v>
      </c>
      <c r="C116" s="1">
        <v>0.0</v>
      </c>
      <c r="D116" s="1" t="s">
        <v>96</v>
      </c>
      <c r="E116" s="1" t="s">
        <v>156</v>
      </c>
      <c r="J116" s="1" t="s">
        <v>45</v>
      </c>
      <c r="M116" s="38"/>
    </row>
    <row r="117">
      <c r="B117" s="1">
        <v>29.0</v>
      </c>
      <c r="C117" s="1">
        <v>0.0</v>
      </c>
      <c r="D117" s="1" t="s">
        <v>96</v>
      </c>
      <c r="E117" s="1" t="s">
        <v>156</v>
      </c>
      <c r="J117" s="1" t="s">
        <v>20</v>
      </c>
      <c r="M117" s="38"/>
    </row>
    <row r="118">
      <c r="B118" s="1">
        <v>28.0</v>
      </c>
      <c r="C118" s="1">
        <v>0.0</v>
      </c>
      <c r="D118" s="1"/>
      <c r="E118" s="1" t="s">
        <v>117</v>
      </c>
      <c r="J118" s="1"/>
      <c r="M118" s="38"/>
    </row>
    <row r="119">
      <c r="A119" s="1"/>
      <c r="B119" s="1"/>
      <c r="C119" s="1"/>
      <c r="J119" s="14"/>
      <c r="M119" s="38"/>
    </row>
    <row r="120">
      <c r="A120" s="1" t="s">
        <v>236</v>
      </c>
      <c r="C120" s="1">
        <f>('Resumo 2023'!C68)*0.3-(250)</f>
        <v>2899.115</v>
      </c>
      <c r="M120" s="38"/>
    </row>
    <row r="121">
      <c r="A121" s="1" t="s">
        <v>50</v>
      </c>
      <c r="C121" s="8">
        <f>SUM(C2:C118)</f>
        <v>7246.8</v>
      </c>
      <c r="D121" s="8">
        <f>('Resumo 2023'!AA68)-C121-C120</f>
        <v>351.135</v>
      </c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E132" s="43" t="s">
        <v>239</v>
      </c>
      <c r="F132" s="44">
        <f>SUMIF(D2:D118,"pg",C2:C118)</f>
        <v>5692.56</v>
      </c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6" t="s">
        <v>240</v>
      </c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  <row r="1038">
      <c r="M1038" s="38"/>
    </row>
    <row r="1039">
      <c r="M1039" s="38"/>
    </row>
    <row r="1040">
      <c r="M1040" s="38"/>
    </row>
    <row r="1041">
      <c r="M1041" s="38"/>
    </row>
    <row r="1042">
      <c r="M1042" s="38"/>
    </row>
    <row r="1043">
      <c r="M1043" s="38"/>
    </row>
    <row r="1044">
      <c r="M1044" s="38"/>
    </row>
    <row r="1045">
      <c r="M1045" s="38"/>
    </row>
    <row r="1046">
      <c r="M1046" s="38"/>
    </row>
    <row r="1047">
      <c r="M1047" s="38"/>
    </row>
    <row r="1048">
      <c r="M1048" s="38"/>
    </row>
  </sheetData>
  <autoFilter ref="$A$1:$BV$118"/>
  <conditionalFormatting sqref="B171">
    <cfRule type="cellIs" dxfId="1" priority="1" operator="greaterThanOrEqual">
      <formula>0</formula>
    </cfRule>
  </conditionalFormatting>
  <conditionalFormatting sqref="B171">
    <cfRule type="cellIs" dxfId="2" priority="2" operator="lessThan">
      <formula>0</formula>
    </cfRule>
  </conditionalFormatting>
  <dataValidations>
    <dataValidation type="list" allowBlank="1" showErrorMessage="1" sqref="J2:J119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veicular,ferias,projetos,dentista,pix aline,painel solar,reforma casa,boleto"</formula1>
    </dataValidation>
  </dataValidation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14.63"/>
    <col customWidth="1" min="5" max="5" width="16.38"/>
  </cols>
  <sheetData>
    <row r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850.0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104</v>
      </c>
      <c r="B4" s="1">
        <v>5.0</v>
      </c>
      <c r="C4" s="37">
        <v>0.0</v>
      </c>
      <c r="D4" s="1" t="s">
        <v>96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>
      <c r="A5" s="2" t="s">
        <v>106</v>
      </c>
      <c r="B5" s="2">
        <v>14.0</v>
      </c>
      <c r="C5" s="40">
        <v>118.0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132.76</v>
      </c>
      <c r="D6" s="1" t="s">
        <v>112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113</v>
      </c>
      <c r="B7" s="1">
        <v>25.0</v>
      </c>
      <c r="C7" s="37">
        <v>99.9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5.0</v>
      </c>
      <c r="C10" s="37">
        <v>0.0</v>
      </c>
      <c r="D10" s="1" t="s">
        <v>96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24.9</v>
      </c>
      <c r="D11" s="1" t="s">
        <v>96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0.0</v>
      </c>
      <c r="D12" s="1" t="s">
        <v>120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96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244.12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  <c r="N16" s="42">
        <v>45992.0</v>
      </c>
    </row>
    <row r="17">
      <c r="A17" s="1" t="s">
        <v>130</v>
      </c>
      <c r="B17" s="1">
        <v>27.0</v>
      </c>
      <c r="C17" s="37">
        <f>89.9+139.9</f>
        <v>229.8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10.0</v>
      </c>
      <c r="C18" s="37">
        <v>20.0</v>
      </c>
      <c r="D18" s="1" t="s">
        <v>112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45</v>
      </c>
      <c r="B19" s="1">
        <v>8.0</v>
      </c>
      <c r="C19" s="1">
        <v>500.0</v>
      </c>
      <c r="D19" s="1" t="s">
        <v>96</v>
      </c>
      <c r="E19" s="1" t="s">
        <v>132</v>
      </c>
      <c r="G19" s="1" t="s">
        <v>98</v>
      </c>
      <c r="H19" s="1" t="s">
        <v>109</v>
      </c>
      <c r="J19" s="1" t="s">
        <v>45</v>
      </c>
      <c r="M19" s="38"/>
    </row>
    <row r="20">
      <c r="A20" s="1" t="s">
        <v>272</v>
      </c>
      <c r="B20" s="1">
        <v>15.0</v>
      </c>
      <c r="C20" s="1">
        <v>380.0</v>
      </c>
      <c r="D20" s="1" t="s">
        <v>96</v>
      </c>
      <c r="E20" s="1" t="s">
        <v>132</v>
      </c>
      <c r="G20" s="1" t="s">
        <v>98</v>
      </c>
      <c r="H20" s="1" t="s">
        <v>109</v>
      </c>
      <c r="J20" s="1" t="s">
        <v>16</v>
      </c>
      <c r="M20" s="38"/>
    </row>
    <row r="21">
      <c r="A21" s="1" t="s">
        <v>273</v>
      </c>
      <c r="B21" s="1">
        <v>6.0</v>
      </c>
      <c r="C21" s="1">
        <v>328.55</v>
      </c>
      <c r="D21" s="1" t="s">
        <v>112</v>
      </c>
      <c r="E21" s="1" t="s">
        <v>133</v>
      </c>
      <c r="G21" s="1" t="s">
        <v>98</v>
      </c>
      <c r="H21" s="1" t="s">
        <v>109</v>
      </c>
      <c r="J21" s="1" t="s">
        <v>48</v>
      </c>
      <c r="M21" s="38"/>
    </row>
    <row r="22">
      <c r="A22" s="1" t="s">
        <v>274</v>
      </c>
      <c r="B22" s="1">
        <v>17.0</v>
      </c>
      <c r="C22" s="1">
        <v>777.56</v>
      </c>
      <c r="D22" s="1" t="s">
        <v>112</v>
      </c>
      <c r="E22" s="1" t="s">
        <v>133</v>
      </c>
      <c r="G22" s="1" t="s">
        <v>98</v>
      </c>
      <c r="H22" s="1" t="s">
        <v>109</v>
      </c>
      <c r="J22" s="1" t="s">
        <v>46</v>
      </c>
      <c r="M22" s="38"/>
    </row>
    <row r="23">
      <c r="A23" s="1" t="s">
        <v>135</v>
      </c>
      <c r="B23" s="1">
        <v>10.0</v>
      </c>
      <c r="C23" s="1">
        <v>60.0</v>
      </c>
      <c r="D23" s="1" t="s">
        <v>112</v>
      </c>
      <c r="E23" s="1" t="s">
        <v>132</v>
      </c>
      <c r="G23" s="1" t="s">
        <v>98</v>
      </c>
      <c r="H23" s="1" t="s">
        <v>109</v>
      </c>
      <c r="J23" s="1" t="s">
        <v>34</v>
      </c>
      <c r="K23" s="42"/>
      <c r="M23" s="38"/>
    </row>
    <row r="24">
      <c r="A24" s="1" t="s">
        <v>154</v>
      </c>
      <c r="B24" s="1">
        <v>0.0</v>
      </c>
      <c r="C24" s="22">
        <v>4.0</v>
      </c>
      <c r="D24" s="1" t="s">
        <v>96</v>
      </c>
      <c r="E24" s="1" t="s">
        <v>132</v>
      </c>
      <c r="G24" s="1" t="s">
        <v>98</v>
      </c>
      <c r="H24" s="1" t="s">
        <v>109</v>
      </c>
      <c r="J24" s="1" t="s">
        <v>39</v>
      </c>
      <c r="M24" s="38"/>
      <c r="N24" s="42">
        <v>45324.0</v>
      </c>
    </row>
    <row r="25">
      <c r="A25" s="1" t="s">
        <v>275</v>
      </c>
      <c r="B25" s="1">
        <v>0.0</v>
      </c>
      <c r="C25" s="1">
        <v>16.0</v>
      </c>
      <c r="D25" s="1" t="s">
        <v>96</v>
      </c>
      <c r="E25" s="1" t="s">
        <v>133</v>
      </c>
      <c r="G25" s="1" t="s">
        <v>98</v>
      </c>
      <c r="H25" s="1" t="s">
        <v>109</v>
      </c>
      <c r="J25" s="1" t="s">
        <v>29</v>
      </c>
      <c r="M25" s="38"/>
    </row>
    <row r="26">
      <c r="A26" s="1" t="s">
        <v>276</v>
      </c>
      <c r="B26" s="1">
        <v>0.0</v>
      </c>
      <c r="C26" s="1">
        <v>405.0</v>
      </c>
      <c r="D26" s="1" t="s">
        <v>96</v>
      </c>
      <c r="E26" s="1" t="s">
        <v>133</v>
      </c>
      <c r="G26" s="1" t="s">
        <v>98</v>
      </c>
      <c r="J26" s="1" t="s">
        <v>28</v>
      </c>
      <c r="M26" s="38"/>
      <c r="N26" s="42">
        <v>45354.0</v>
      </c>
    </row>
    <row r="27">
      <c r="A27" s="1" t="s">
        <v>277</v>
      </c>
      <c r="B27" s="1">
        <v>0.0</v>
      </c>
      <c r="C27" s="1">
        <v>99.1</v>
      </c>
      <c r="D27" s="1" t="s">
        <v>96</v>
      </c>
      <c r="E27" s="1" t="s">
        <v>133</v>
      </c>
      <c r="G27" s="1" t="s">
        <v>98</v>
      </c>
      <c r="H27" s="1" t="s">
        <v>109</v>
      </c>
      <c r="J27" s="1" t="s">
        <v>34</v>
      </c>
      <c r="M27" s="38"/>
    </row>
    <row r="28">
      <c r="A28" s="1" t="s">
        <v>247</v>
      </c>
      <c r="B28" s="1">
        <v>0.0</v>
      </c>
      <c r="C28" s="1">
        <v>295.94</v>
      </c>
      <c r="D28" s="1" t="s">
        <v>96</v>
      </c>
      <c r="E28" s="1" t="s">
        <v>133</v>
      </c>
      <c r="G28" s="1" t="s">
        <v>98</v>
      </c>
      <c r="J28" s="1" t="s">
        <v>29</v>
      </c>
      <c r="M28" s="38"/>
    </row>
    <row r="29">
      <c r="A29" s="1" t="s">
        <v>278</v>
      </c>
      <c r="B29" s="1">
        <v>1.0</v>
      </c>
      <c r="C29" s="1">
        <v>28.0</v>
      </c>
      <c r="D29" s="1" t="s">
        <v>96</v>
      </c>
      <c r="E29" s="1" t="s">
        <v>133</v>
      </c>
      <c r="G29" s="1" t="s">
        <v>98</v>
      </c>
      <c r="J29" s="1" t="s">
        <v>29</v>
      </c>
      <c r="M29" s="38"/>
      <c r="N29" s="42">
        <v>45872.0</v>
      </c>
    </row>
    <row r="30">
      <c r="A30" s="1" t="s">
        <v>279</v>
      </c>
      <c r="B30" s="1">
        <v>1.0</v>
      </c>
      <c r="C30" s="1">
        <v>8.0</v>
      </c>
      <c r="D30" s="1" t="s">
        <v>96</v>
      </c>
      <c r="E30" s="1" t="s">
        <v>133</v>
      </c>
      <c r="G30" s="1" t="s">
        <v>98</v>
      </c>
      <c r="J30" s="1" t="s">
        <v>32</v>
      </c>
      <c r="M30" s="38"/>
      <c r="N30" s="42">
        <v>45993.0</v>
      </c>
    </row>
    <row r="31">
      <c r="A31" s="1" t="s">
        <v>154</v>
      </c>
      <c r="B31" s="1">
        <v>1.0</v>
      </c>
      <c r="C31" s="1">
        <v>9.5</v>
      </c>
      <c r="D31" s="1" t="s">
        <v>96</v>
      </c>
      <c r="E31" s="1" t="s">
        <v>133</v>
      </c>
      <c r="G31" s="1" t="s">
        <v>118</v>
      </c>
      <c r="H31" s="1" t="s">
        <v>109</v>
      </c>
      <c r="J31" s="1" t="s">
        <v>39</v>
      </c>
      <c r="M31" s="38"/>
    </row>
    <row r="32">
      <c r="A32" s="1" t="s">
        <v>280</v>
      </c>
      <c r="B32" s="1">
        <v>2.0</v>
      </c>
      <c r="C32" s="1">
        <v>8.0</v>
      </c>
      <c r="D32" s="1" t="s">
        <v>96</v>
      </c>
      <c r="E32" s="1" t="s">
        <v>133</v>
      </c>
      <c r="G32" s="1" t="s">
        <v>98</v>
      </c>
      <c r="J32" s="1" t="s">
        <v>25</v>
      </c>
      <c r="M32" s="38"/>
    </row>
    <row r="33">
      <c r="A33" s="1" t="s">
        <v>233</v>
      </c>
      <c r="B33" s="1">
        <v>2.0</v>
      </c>
      <c r="C33" s="1">
        <v>920.05</v>
      </c>
      <c r="D33" s="1" t="s">
        <v>96</v>
      </c>
      <c r="E33" s="1" t="s">
        <v>133</v>
      </c>
      <c r="G33" s="1" t="s">
        <v>98</v>
      </c>
      <c r="J33" s="1" t="s">
        <v>28</v>
      </c>
      <c r="M33" s="38"/>
    </row>
    <row r="34">
      <c r="A34" s="1" t="s">
        <v>281</v>
      </c>
      <c r="B34" s="1">
        <v>2.0</v>
      </c>
      <c r="C34" s="1">
        <v>29.99</v>
      </c>
      <c r="D34" s="1" t="s">
        <v>96</v>
      </c>
      <c r="E34" s="1" t="s">
        <v>133</v>
      </c>
      <c r="G34" s="1" t="s">
        <v>98</v>
      </c>
      <c r="J34" s="1" t="s">
        <v>32</v>
      </c>
      <c r="M34" s="38"/>
    </row>
    <row r="35">
      <c r="A35" s="1" t="s">
        <v>264</v>
      </c>
      <c r="B35" s="1">
        <v>2.0</v>
      </c>
      <c r="C35" s="1">
        <v>5.0</v>
      </c>
      <c r="D35" s="1" t="s">
        <v>96</v>
      </c>
      <c r="E35" s="1" t="s">
        <v>133</v>
      </c>
      <c r="G35" s="1" t="s">
        <v>98</v>
      </c>
      <c r="J35" s="1" t="s">
        <v>20</v>
      </c>
      <c r="M35" s="38"/>
    </row>
    <row r="36">
      <c r="A36" s="1" t="s">
        <v>282</v>
      </c>
      <c r="B36" s="1">
        <v>2.0</v>
      </c>
      <c r="C36" s="1">
        <v>15.04</v>
      </c>
      <c r="D36" s="1" t="s">
        <v>96</v>
      </c>
      <c r="E36" s="1" t="s">
        <v>133</v>
      </c>
      <c r="G36" s="1" t="s">
        <v>98</v>
      </c>
      <c r="J36" s="1" t="s">
        <v>35</v>
      </c>
      <c r="M36" s="38"/>
    </row>
    <row r="37">
      <c r="A37" s="1" t="s">
        <v>270</v>
      </c>
      <c r="B37" s="1">
        <v>2.0</v>
      </c>
      <c r="C37" s="1">
        <v>64.7</v>
      </c>
      <c r="D37" s="1" t="s">
        <v>96</v>
      </c>
      <c r="E37" s="1" t="s">
        <v>133</v>
      </c>
      <c r="G37" s="1" t="s">
        <v>98</v>
      </c>
      <c r="J37" s="1" t="s">
        <v>18</v>
      </c>
      <c r="M37" s="38"/>
    </row>
    <row r="38">
      <c r="A38" s="1" t="s">
        <v>154</v>
      </c>
      <c r="B38" s="1">
        <v>3.0</v>
      </c>
      <c r="C38" s="1">
        <v>10.4</v>
      </c>
      <c r="D38" s="1" t="s">
        <v>96</v>
      </c>
      <c r="E38" s="1" t="s">
        <v>133</v>
      </c>
      <c r="G38" s="1" t="s">
        <v>98</v>
      </c>
      <c r="J38" s="1" t="s">
        <v>39</v>
      </c>
      <c r="M38" s="36" t="s">
        <v>43</v>
      </c>
    </row>
    <row r="39">
      <c r="A39" s="1" t="s">
        <v>283</v>
      </c>
      <c r="B39" s="1">
        <v>3.0</v>
      </c>
      <c r="C39" s="1">
        <v>32.3</v>
      </c>
      <c r="D39" s="1" t="s">
        <v>96</v>
      </c>
      <c r="E39" s="1" t="s">
        <v>133</v>
      </c>
      <c r="G39" s="1" t="s">
        <v>98</v>
      </c>
      <c r="J39" s="1" t="s">
        <v>25</v>
      </c>
      <c r="M39" s="38"/>
    </row>
    <row r="40">
      <c r="A40" s="1" t="s">
        <v>165</v>
      </c>
      <c r="B40" s="1">
        <v>3.0</v>
      </c>
      <c r="C40" s="1">
        <v>139.55</v>
      </c>
      <c r="D40" s="1" t="s">
        <v>96</v>
      </c>
      <c r="E40" s="1" t="s">
        <v>133</v>
      </c>
      <c r="G40" s="1" t="s">
        <v>98</v>
      </c>
      <c r="J40" s="1" t="s">
        <v>29</v>
      </c>
      <c r="M40" s="38"/>
    </row>
    <row r="41">
      <c r="A41" s="1" t="s">
        <v>284</v>
      </c>
      <c r="B41" s="1">
        <v>4.0</v>
      </c>
      <c r="C41" s="1">
        <v>98.58</v>
      </c>
      <c r="D41" s="1" t="s">
        <v>96</v>
      </c>
      <c r="E41" s="1" t="s">
        <v>133</v>
      </c>
      <c r="G41" s="1" t="s">
        <v>98</v>
      </c>
      <c r="J41" s="1" t="s">
        <v>34</v>
      </c>
      <c r="M41" s="38"/>
    </row>
    <row r="42">
      <c r="A42" s="1" t="s">
        <v>285</v>
      </c>
      <c r="B42" s="1">
        <v>5.0</v>
      </c>
      <c r="C42" s="1">
        <v>105.0</v>
      </c>
      <c r="D42" s="1" t="s">
        <v>96</v>
      </c>
      <c r="E42" s="1" t="s">
        <v>133</v>
      </c>
      <c r="G42" s="1" t="s">
        <v>98</v>
      </c>
      <c r="J42" s="1" t="s">
        <v>31</v>
      </c>
      <c r="L42" s="42"/>
      <c r="M42" s="38"/>
    </row>
    <row r="43">
      <c r="A43" s="1" t="s">
        <v>286</v>
      </c>
      <c r="B43" s="1">
        <v>6.0</v>
      </c>
      <c r="C43" s="1">
        <v>28.22</v>
      </c>
      <c r="D43" s="1" t="s">
        <v>96</v>
      </c>
      <c r="E43" s="1" t="s">
        <v>133</v>
      </c>
      <c r="G43" s="1" t="s">
        <v>98</v>
      </c>
      <c r="J43" s="1" t="s">
        <v>24</v>
      </c>
      <c r="M43" s="38"/>
    </row>
    <row r="44">
      <c r="A44" s="1" t="s">
        <v>287</v>
      </c>
      <c r="B44" s="1">
        <v>8.0</v>
      </c>
      <c r="C44" s="1">
        <v>12.0</v>
      </c>
      <c r="D44" s="1" t="s">
        <v>96</v>
      </c>
      <c r="E44" s="1" t="s">
        <v>133</v>
      </c>
      <c r="G44" s="1" t="s">
        <v>98</v>
      </c>
      <c r="J44" s="1" t="s">
        <v>24</v>
      </c>
      <c r="M44" s="38"/>
    </row>
    <row r="45">
      <c r="A45" s="1" t="s">
        <v>154</v>
      </c>
      <c r="B45" s="1">
        <v>8.0</v>
      </c>
      <c r="C45" s="1">
        <v>4.0</v>
      </c>
      <c r="D45" s="1" t="s">
        <v>96</v>
      </c>
      <c r="E45" s="1" t="s">
        <v>133</v>
      </c>
      <c r="G45" s="1" t="s">
        <v>98</v>
      </c>
      <c r="J45" s="1" t="s">
        <v>39</v>
      </c>
      <c r="M45" s="38"/>
    </row>
    <row r="46">
      <c r="A46" s="1" t="s">
        <v>242</v>
      </c>
      <c r="B46" s="1">
        <v>8.0</v>
      </c>
      <c r="C46" s="1">
        <v>56.24</v>
      </c>
      <c r="D46" s="1" t="s">
        <v>96</v>
      </c>
      <c r="E46" s="1" t="s">
        <v>133</v>
      </c>
      <c r="G46" s="1" t="s">
        <v>98</v>
      </c>
      <c r="J46" s="1" t="s">
        <v>18</v>
      </c>
      <c r="M46" s="38"/>
    </row>
    <row r="47">
      <c r="A47" s="1" t="s">
        <v>288</v>
      </c>
      <c r="B47" s="1">
        <v>8.0</v>
      </c>
      <c r="C47" s="1">
        <v>29.59</v>
      </c>
      <c r="D47" s="1" t="s">
        <v>96</v>
      </c>
      <c r="E47" s="1" t="s">
        <v>133</v>
      </c>
      <c r="G47" s="1" t="s">
        <v>98</v>
      </c>
      <c r="J47" s="1" t="s">
        <v>25</v>
      </c>
      <c r="M47" s="38"/>
    </row>
    <row r="48">
      <c r="A48" s="1" t="s">
        <v>289</v>
      </c>
      <c r="B48" s="1">
        <v>8.0</v>
      </c>
      <c r="C48" s="1">
        <v>89.5</v>
      </c>
      <c r="D48" s="1" t="s">
        <v>96</v>
      </c>
      <c r="E48" s="1" t="s">
        <v>133</v>
      </c>
      <c r="G48" s="1" t="s">
        <v>98</v>
      </c>
      <c r="J48" s="1" t="s">
        <v>29</v>
      </c>
      <c r="M48" s="38"/>
    </row>
    <row r="49">
      <c r="A49" s="1" t="s">
        <v>261</v>
      </c>
      <c r="B49" s="1">
        <v>8.0</v>
      </c>
      <c r="C49" s="1">
        <v>269.21</v>
      </c>
      <c r="D49" s="1" t="s">
        <v>96</v>
      </c>
      <c r="E49" s="1" t="s">
        <v>133</v>
      </c>
      <c r="G49" s="1" t="s">
        <v>98</v>
      </c>
      <c r="J49" s="1" t="s">
        <v>29</v>
      </c>
      <c r="M49" s="38"/>
    </row>
    <row r="50">
      <c r="A50" s="1" t="s">
        <v>154</v>
      </c>
      <c r="B50" s="1">
        <v>9.0</v>
      </c>
      <c r="C50" s="1">
        <v>4.0</v>
      </c>
      <c r="D50" s="1" t="s">
        <v>96</v>
      </c>
      <c r="E50" s="1" t="s">
        <v>133</v>
      </c>
      <c r="G50" s="1" t="s">
        <v>98</v>
      </c>
      <c r="J50" s="1" t="s">
        <v>39</v>
      </c>
      <c r="M50" s="38"/>
    </row>
    <row r="51">
      <c r="A51" s="1" t="s">
        <v>290</v>
      </c>
      <c r="B51" s="1">
        <v>9.0</v>
      </c>
      <c r="C51" s="1">
        <v>26.07</v>
      </c>
      <c r="D51" s="1" t="s">
        <v>96</v>
      </c>
      <c r="E51" s="1" t="s">
        <v>133</v>
      </c>
      <c r="G51" s="1" t="s">
        <v>98</v>
      </c>
      <c r="J51" s="1" t="s">
        <v>29</v>
      </c>
      <c r="M51" s="38"/>
    </row>
    <row r="52">
      <c r="A52" s="1" t="s">
        <v>291</v>
      </c>
      <c r="B52" s="1">
        <v>9.0</v>
      </c>
      <c r="C52" s="1">
        <v>437.02</v>
      </c>
      <c r="D52" s="1" t="s">
        <v>96</v>
      </c>
      <c r="E52" s="1" t="s">
        <v>133</v>
      </c>
      <c r="G52" s="1" t="s">
        <v>98</v>
      </c>
      <c r="J52" s="1" t="s">
        <v>34</v>
      </c>
      <c r="M52" s="38"/>
    </row>
    <row r="53">
      <c r="A53" s="1" t="s">
        <v>292</v>
      </c>
      <c r="B53" s="1">
        <v>9.0</v>
      </c>
      <c r="C53" s="1">
        <v>44.8</v>
      </c>
      <c r="D53" s="1" t="s">
        <v>96</v>
      </c>
      <c r="E53" s="1" t="s">
        <v>133</v>
      </c>
      <c r="G53" s="1" t="s">
        <v>98</v>
      </c>
      <c r="J53" s="1" t="s">
        <v>24</v>
      </c>
      <c r="M53" s="38"/>
    </row>
    <row r="54">
      <c r="A54" s="1" t="s">
        <v>293</v>
      </c>
      <c r="B54" s="1">
        <v>10.0</v>
      </c>
      <c r="C54" s="1">
        <v>32.0</v>
      </c>
      <c r="D54" s="1" t="s">
        <v>96</v>
      </c>
      <c r="E54" s="1" t="s">
        <v>133</v>
      </c>
      <c r="G54" s="1" t="s">
        <v>98</v>
      </c>
      <c r="J54" s="1" t="s">
        <v>20</v>
      </c>
      <c r="M54" s="38"/>
    </row>
    <row r="55">
      <c r="A55" s="1" t="s">
        <v>294</v>
      </c>
      <c r="B55" s="1">
        <v>10.0</v>
      </c>
      <c r="C55" s="1">
        <v>45.0</v>
      </c>
      <c r="D55" s="1" t="s">
        <v>96</v>
      </c>
      <c r="E55" s="1" t="s">
        <v>133</v>
      </c>
      <c r="G55" s="1"/>
      <c r="J55" s="1" t="s">
        <v>34</v>
      </c>
      <c r="M55" s="38"/>
    </row>
    <row r="56">
      <c r="A56" s="1" t="s">
        <v>154</v>
      </c>
      <c r="B56" s="1">
        <v>12.0</v>
      </c>
      <c r="C56" s="1">
        <v>4.0</v>
      </c>
      <c r="D56" s="1" t="s">
        <v>96</v>
      </c>
      <c r="E56" s="1" t="s">
        <v>133</v>
      </c>
      <c r="G56" s="1"/>
      <c r="J56" s="1" t="s">
        <v>39</v>
      </c>
      <c r="M56" s="38"/>
    </row>
    <row r="57">
      <c r="A57" s="1" t="s">
        <v>242</v>
      </c>
      <c r="B57" s="1">
        <v>12.0</v>
      </c>
      <c r="C57" s="1">
        <v>50.0</v>
      </c>
      <c r="D57" s="1" t="s">
        <v>96</v>
      </c>
      <c r="E57" s="1" t="s">
        <v>133</v>
      </c>
      <c r="G57" s="1"/>
      <c r="J57" s="1" t="s">
        <v>18</v>
      </c>
      <c r="M57" s="38"/>
    </row>
    <row r="58">
      <c r="A58" s="1" t="s">
        <v>295</v>
      </c>
      <c r="B58" s="1">
        <v>14.0</v>
      </c>
      <c r="C58" s="1">
        <v>47.0</v>
      </c>
      <c r="D58" s="1" t="s">
        <v>96</v>
      </c>
      <c r="E58" s="1" t="s">
        <v>133</v>
      </c>
      <c r="G58" s="1"/>
      <c r="J58" s="1" t="s">
        <v>34</v>
      </c>
      <c r="M58" s="38"/>
    </row>
    <row r="59">
      <c r="A59" s="1" t="s">
        <v>154</v>
      </c>
      <c r="B59" s="1">
        <v>14.0</v>
      </c>
      <c r="C59" s="1">
        <v>4.0</v>
      </c>
      <c r="D59" s="1"/>
      <c r="E59" s="1" t="s">
        <v>133</v>
      </c>
      <c r="G59" s="1"/>
      <c r="J59" s="1" t="s">
        <v>39</v>
      </c>
      <c r="M59" s="38"/>
    </row>
    <row r="60">
      <c r="A60" s="1" t="s">
        <v>296</v>
      </c>
      <c r="B60" s="1">
        <v>14.0</v>
      </c>
      <c r="C60" s="1">
        <v>29.44</v>
      </c>
      <c r="D60" s="1" t="s">
        <v>96</v>
      </c>
      <c r="E60" s="1" t="s">
        <v>133</v>
      </c>
      <c r="G60" s="1"/>
      <c r="J60" s="1" t="s">
        <v>24</v>
      </c>
      <c r="M60" s="38"/>
    </row>
    <row r="61">
      <c r="A61" s="1" t="s">
        <v>297</v>
      </c>
      <c r="B61" s="1">
        <v>14.0</v>
      </c>
      <c r="C61" s="1">
        <v>267.9</v>
      </c>
      <c r="D61" s="1" t="s">
        <v>96</v>
      </c>
      <c r="E61" s="1" t="s">
        <v>133</v>
      </c>
      <c r="G61" s="1"/>
      <c r="J61" s="1" t="s">
        <v>31</v>
      </c>
      <c r="M61" s="38"/>
    </row>
    <row r="62">
      <c r="A62" s="1" t="s">
        <v>298</v>
      </c>
      <c r="B62" s="1">
        <v>14.0</v>
      </c>
      <c r="C62" s="1">
        <v>152.99</v>
      </c>
      <c r="D62" s="1" t="s">
        <v>96</v>
      </c>
      <c r="E62" s="1" t="s">
        <v>133</v>
      </c>
      <c r="G62" s="1"/>
      <c r="J62" s="1" t="s">
        <v>29</v>
      </c>
      <c r="M62" s="38"/>
    </row>
    <row r="63">
      <c r="A63" s="1" t="s">
        <v>299</v>
      </c>
      <c r="B63" s="1">
        <v>15.0</v>
      </c>
      <c r="C63" s="1">
        <v>50.0</v>
      </c>
      <c r="D63" s="1" t="s">
        <v>96</v>
      </c>
      <c r="E63" s="1" t="s">
        <v>133</v>
      </c>
      <c r="G63" s="1"/>
      <c r="J63" s="1" t="s">
        <v>18</v>
      </c>
      <c r="M63" s="38"/>
    </row>
    <row r="64">
      <c r="A64" s="1" t="s">
        <v>300</v>
      </c>
      <c r="B64" s="1">
        <v>16.0</v>
      </c>
      <c r="C64" s="1">
        <v>79.81</v>
      </c>
      <c r="D64" s="1" t="s">
        <v>96</v>
      </c>
      <c r="E64" s="1" t="s">
        <v>133</v>
      </c>
      <c r="G64" s="1"/>
      <c r="J64" s="1" t="s">
        <v>29</v>
      </c>
      <c r="M64" s="38"/>
    </row>
    <row r="65">
      <c r="A65" s="1" t="s">
        <v>301</v>
      </c>
      <c r="B65" s="1">
        <v>16.0</v>
      </c>
      <c r="C65" s="1">
        <v>45.9</v>
      </c>
      <c r="D65" s="1" t="s">
        <v>96</v>
      </c>
      <c r="E65" s="1" t="s">
        <v>133</v>
      </c>
      <c r="G65" s="1"/>
      <c r="J65" s="1" t="s">
        <v>34</v>
      </c>
      <c r="L65" s="42"/>
      <c r="M65" s="38"/>
    </row>
    <row r="66">
      <c r="A66" s="1" t="s">
        <v>154</v>
      </c>
      <c r="B66" s="1">
        <v>16.0</v>
      </c>
      <c r="C66" s="1">
        <v>7.0</v>
      </c>
      <c r="D66" s="1" t="s">
        <v>96</v>
      </c>
      <c r="E66" s="1" t="s">
        <v>133</v>
      </c>
      <c r="G66" s="1"/>
      <c r="J66" s="1" t="s">
        <v>39</v>
      </c>
      <c r="M66" s="38"/>
    </row>
    <row r="67">
      <c r="A67" s="1" t="s">
        <v>302</v>
      </c>
      <c r="B67" s="1">
        <v>16.0</v>
      </c>
      <c r="C67" s="1">
        <v>23.1</v>
      </c>
      <c r="D67" s="1" t="s">
        <v>96</v>
      </c>
      <c r="E67" s="1" t="s">
        <v>133</v>
      </c>
      <c r="J67" s="1" t="s">
        <v>29</v>
      </c>
      <c r="M67" s="38"/>
    </row>
    <row r="68">
      <c r="A68" s="1" t="s">
        <v>303</v>
      </c>
      <c r="B68" s="1">
        <v>17.0</v>
      </c>
      <c r="C68" s="1">
        <v>7.56</v>
      </c>
      <c r="D68" s="1" t="s">
        <v>96</v>
      </c>
      <c r="E68" s="1" t="s">
        <v>133</v>
      </c>
      <c r="J68" s="1" t="s">
        <v>24</v>
      </c>
      <c r="M68" s="38"/>
    </row>
    <row r="69">
      <c r="A69" s="1" t="s">
        <v>49</v>
      </c>
      <c r="B69" s="1">
        <v>12.0</v>
      </c>
      <c r="C69" s="1">
        <v>2056.0</v>
      </c>
      <c r="D69" s="1" t="s">
        <v>96</v>
      </c>
      <c r="E69" s="1" t="s">
        <v>156</v>
      </c>
      <c r="J69" s="1" t="s">
        <v>49</v>
      </c>
      <c r="M69" s="38"/>
    </row>
    <row r="70">
      <c r="A70" s="1" t="s">
        <v>304</v>
      </c>
      <c r="B70" s="1">
        <v>13.0</v>
      </c>
      <c r="C70" s="1">
        <v>51.0</v>
      </c>
      <c r="D70" s="1" t="s">
        <v>96</v>
      </c>
      <c r="E70" s="1" t="s">
        <v>117</v>
      </c>
      <c r="J70" s="1" t="s">
        <v>28</v>
      </c>
      <c r="M70" s="38"/>
    </row>
    <row r="71">
      <c r="A71" s="1" t="s">
        <v>305</v>
      </c>
      <c r="B71" s="1">
        <v>12.0</v>
      </c>
      <c r="C71" s="1">
        <f>72.92+16.88-C70</f>
        <v>38.8</v>
      </c>
      <c r="D71" s="1" t="s">
        <v>96</v>
      </c>
      <c r="E71" s="1" t="s">
        <v>117</v>
      </c>
      <c r="J71" s="1" t="s">
        <v>44</v>
      </c>
      <c r="M71" s="38"/>
    </row>
    <row r="72">
      <c r="A72" s="1" t="s">
        <v>306</v>
      </c>
      <c r="B72" s="1">
        <v>23.0</v>
      </c>
      <c r="C72" s="1">
        <v>440.0</v>
      </c>
      <c r="D72" s="1" t="s">
        <v>96</v>
      </c>
      <c r="E72" s="1" t="s">
        <v>156</v>
      </c>
      <c r="J72" s="1" t="s">
        <v>28</v>
      </c>
      <c r="K72" s="42"/>
      <c r="M72" s="38"/>
    </row>
    <row r="73">
      <c r="A73" s="1" t="s">
        <v>282</v>
      </c>
      <c r="B73" s="1">
        <v>15.0</v>
      </c>
      <c r="C73" s="1">
        <v>11.46</v>
      </c>
      <c r="D73" s="1" t="s">
        <v>96</v>
      </c>
      <c r="E73" s="1" t="s">
        <v>133</v>
      </c>
      <c r="J73" s="1" t="s">
        <v>35</v>
      </c>
      <c r="M73" s="38"/>
    </row>
    <row r="74">
      <c r="A74" s="1" t="s">
        <v>307</v>
      </c>
      <c r="B74" s="1">
        <v>15.0</v>
      </c>
      <c r="C74" s="1">
        <v>359.98</v>
      </c>
      <c r="D74" s="1" t="s">
        <v>96</v>
      </c>
      <c r="E74" s="1" t="s">
        <v>133</v>
      </c>
      <c r="J74" s="1" t="s">
        <v>15</v>
      </c>
      <c r="M74" s="38"/>
    </row>
    <row r="75">
      <c r="A75" s="1" t="s">
        <v>308</v>
      </c>
      <c r="B75" s="1">
        <v>15.0</v>
      </c>
      <c r="C75" s="1">
        <v>79.8</v>
      </c>
      <c r="D75" s="1" t="s">
        <v>96</v>
      </c>
      <c r="E75" s="1" t="s">
        <v>133</v>
      </c>
      <c r="J75" s="1" t="s">
        <v>34</v>
      </c>
      <c r="M75" s="38"/>
    </row>
    <row r="76">
      <c r="A76" s="1" t="s">
        <v>309</v>
      </c>
      <c r="B76" s="1">
        <v>13.0</v>
      </c>
      <c r="C76" s="1">
        <v>-750.0</v>
      </c>
      <c r="D76" s="1" t="s">
        <v>96</v>
      </c>
      <c r="E76" s="1" t="s">
        <v>133</v>
      </c>
      <c r="J76" s="1" t="s">
        <v>28</v>
      </c>
      <c r="M76" s="38"/>
    </row>
    <row r="77">
      <c r="A77" s="1" t="s">
        <v>310</v>
      </c>
      <c r="B77" s="1">
        <v>17.0</v>
      </c>
      <c r="C77" s="1">
        <v>55.0</v>
      </c>
      <c r="D77" s="1" t="s">
        <v>96</v>
      </c>
      <c r="E77" s="1" t="s">
        <v>156</v>
      </c>
      <c r="J77" s="1" t="s">
        <v>31</v>
      </c>
      <c r="M77" s="38"/>
    </row>
    <row r="78">
      <c r="A78" s="1" t="s">
        <v>282</v>
      </c>
      <c r="B78" s="1">
        <v>15.0</v>
      </c>
      <c r="C78" s="1">
        <v>11.46</v>
      </c>
      <c r="D78" s="1" t="s">
        <v>96</v>
      </c>
      <c r="E78" s="1" t="s">
        <v>133</v>
      </c>
      <c r="J78" s="1" t="s">
        <v>39</v>
      </c>
      <c r="M78" s="38"/>
    </row>
    <row r="79">
      <c r="A79" s="1" t="s">
        <v>295</v>
      </c>
      <c r="B79" s="1">
        <v>19.0</v>
      </c>
      <c r="C79" s="1">
        <v>47.0</v>
      </c>
      <c r="D79" s="1" t="s">
        <v>96</v>
      </c>
      <c r="E79" s="1" t="s">
        <v>133</v>
      </c>
      <c r="J79" s="1" t="s">
        <v>18</v>
      </c>
      <c r="M79" s="38"/>
    </row>
    <row r="80">
      <c r="A80" s="1" t="s">
        <v>275</v>
      </c>
      <c r="B80" s="1">
        <v>19.0</v>
      </c>
      <c r="C80" s="1">
        <v>18.0</v>
      </c>
      <c r="D80" s="1" t="s">
        <v>96</v>
      </c>
      <c r="E80" s="1" t="s">
        <v>133</v>
      </c>
      <c r="J80" s="1" t="s">
        <v>39</v>
      </c>
      <c r="M80" s="38"/>
    </row>
    <row r="81">
      <c r="A81" s="1" t="s">
        <v>311</v>
      </c>
      <c r="B81" s="1">
        <v>21.0</v>
      </c>
      <c r="C81" s="1">
        <v>15.25</v>
      </c>
      <c r="D81" s="1" t="s">
        <v>96</v>
      </c>
      <c r="E81" s="1" t="s">
        <v>133</v>
      </c>
      <c r="J81" s="1" t="s">
        <v>31</v>
      </c>
      <c r="M81" s="38"/>
    </row>
    <row r="82">
      <c r="A82" s="1" t="s">
        <v>270</v>
      </c>
      <c r="B82" s="1">
        <v>21.0</v>
      </c>
      <c r="C82" s="1">
        <v>50.0</v>
      </c>
      <c r="D82" s="1" t="s">
        <v>96</v>
      </c>
      <c r="E82" s="1" t="s">
        <v>133</v>
      </c>
      <c r="J82" s="1" t="s">
        <v>39</v>
      </c>
      <c r="M82" s="38"/>
    </row>
    <row r="83">
      <c r="A83" s="1" t="s">
        <v>312</v>
      </c>
      <c r="B83" s="1">
        <v>22.0</v>
      </c>
      <c r="C83" s="1">
        <v>11.0</v>
      </c>
      <c r="D83" s="1" t="s">
        <v>96</v>
      </c>
      <c r="E83" s="1" t="s">
        <v>133</v>
      </c>
      <c r="J83" s="1" t="s">
        <v>34</v>
      </c>
      <c r="M83" s="38"/>
    </row>
    <row r="84">
      <c r="A84" s="1" t="s">
        <v>308</v>
      </c>
      <c r="B84" s="1">
        <v>22.0</v>
      </c>
      <c r="C84" s="1">
        <v>77.8</v>
      </c>
      <c r="D84" s="1" t="s">
        <v>96</v>
      </c>
      <c r="E84" s="1" t="s">
        <v>133</v>
      </c>
      <c r="J84" s="1" t="s">
        <v>40</v>
      </c>
      <c r="M84" s="38"/>
    </row>
    <row r="85">
      <c r="A85" s="1" t="s">
        <v>312</v>
      </c>
      <c r="B85" s="1">
        <v>23.0</v>
      </c>
      <c r="C85" s="1">
        <v>9.0</v>
      </c>
      <c r="D85" s="1" t="s">
        <v>96</v>
      </c>
      <c r="E85" s="1" t="s">
        <v>133</v>
      </c>
      <c r="J85" s="1" t="s">
        <v>29</v>
      </c>
      <c r="M85" s="38"/>
    </row>
    <row r="86">
      <c r="A86" s="1" t="s">
        <v>165</v>
      </c>
      <c r="B86" s="1">
        <v>23.0</v>
      </c>
      <c r="C86" s="1">
        <v>439.42</v>
      </c>
      <c r="D86" s="1" t="s">
        <v>96</v>
      </c>
      <c r="E86" s="1" t="s">
        <v>133</v>
      </c>
      <c r="J86" s="1" t="s">
        <v>31</v>
      </c>
      <c r="M86" s="38"/>
    </row>
    <row r="87">
      <c r="A87" s="1" t="s">
        <v>278</v>
      </c>
      <c r="B87" s="1">
        <v>24.0</v>
      </c>
      <c r="C87" s="1">
        <v>14.0</v>
      </c>
      <c r="D87" s="1" t="s">
        <v>96</v>
      </c>
      <c r="E87" s="1" t="s">
        <v>133</v>
      </c>
      <c r="J87" s="1" t="s">
        <v>39</v>
      </c>
      <c r="M87" s="38"/>
    </row>
    <row r="88">
      <c r="A88" s="1" t="s">
        <v>313</v>
      </c>
      <c r="B88" s="1">
        <v>24.0</v>
      </c>
      <c r="C88" s="1">
        <v>50.49</v>
      </c>
      <c r="D88" s="1" t="s">
        <v>96</v>
      </c>
      <c r="E88" s="1" t="s">
        <v>133</v>
      </c>
      <c r="J88" s="1" t="s">
        <v>28</v>
      </c>
      <c r="M88" s="38"/>
    </row>
    <row r="89">
      <c r="A89" s="1" t="s">
        <v>242</v>
      </c>
      <c r="B89" s="1">
        <v>25.0</v>
      </c>
      <c r="C89" s="1">
        <v>67.07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314</v>
      </c>
      <c r="B90" s="1">
        <v>1.0</v>
      </c>
      <c r="C90" s="1">
        <v>280.0</v>
      </c>
      <c r="D90" s="1" t="s">
        <v>96</v>
      </c>
      <c r="E90" s="1" t="s">
        <v>156</v>
      </c>
      <c r="J90" s="1" t="s">
        <v>39</v>
      </c>
      <c r="M90" s="38"/>
    </row>
    <row r="91">
      <c r="A91" s="1" t="s">
        <v>315</v>
      </c>
      <c r="B91" s="1">
        <v>4.0</v>
      </c>
      <c r="C91" s="1">
        <v>10.93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316</v>
      </c>
      <c r="B92" s="1">
        <v>4.0</v>
      </c>
      <c r="C92" s="1">
        <v>209.99</v>
      </c>
      <c r="D92" s="1" t="s">
        <v>96</v>
      </c>
      <c r="E92" s="1" t="s">
        <v>156</v>
      </c>
      <c r="J92" s="1" t="s">
        <v>44</v>
      </c>
      <c r="M92" s="38"/>
    </row>
    <row r="93">
      <c r="A93" s="1" t="s">
        <v>317</v>
      </c>
      <c r="B93" s="1">
        <v>4.0</v>
      </c>
      <c r="C93" s="1">
        <v>34.0</v>
      </c>
      <c r="D93" s="1" t="s">
        <v>96</v>
      </c>
      <c r="E93" s="1" t="s">
        <v>156</v>
      </c>
      <c r="J93" s="1" t="s">
        <v>18</v>
      </c>
      <c r="M93" s="38"/>
    </row>
    <row r="94">
      <c r="A94" s="1" t="s">
        <v>318</v>
      </c>
      <c r="B94" s="1">
        <v>4.0</v>
      </c>
      <c r="C94" s="1">
        <v>5.0</v>
      </c>
      <c r="D94" s="1" t="s">
        <v>96</v>
      </c>
      <c r="E94" s="1" t="s">
        <v>156</v>
      </c>
      <c r="J94" s="1" t="s">
        <v>20</v>
      </c>
      <c r="M94" s="38"/>
    </row>
    <row r="95">
      <c r="A95" s="1" t="s">
        <v>319</v>
      </c>
      <c r="B95" s="1">
        <v>4.0</v>
      </c>
      <c r="C95" s="1">
        <v>4.0</v>
      </c>
      <c r="D95" s="1" t="s">
        <v>96</v>
      </c>
      <c r="E95" s="1" t="s">
        <v>156</v>
      </c>
      <c r="J95" s="1" t="s">
        <v>32</v>
      </c>
      <c r="M95" s="38"/>
    </row>
    <row r="96">
      <c r="A96" s="1" t="s">
        <v>320</v>
      </c>
      <c r="B96" s="1">
        <v>4.0</v>
      </c>
      <c r="C96" s="1">
        <v>104.31</v>
      </c>
      <c r="D96" s="1" t="s">
        <v>96</v>
      </c>
      <c r="E96" s="1" t="s">
        <v>156</v>
      </c>
      <c r="J96" s="1" t="s">
        <v>32</v>
      </c>
      <c r="M96" s="38"/>
    </row>
    <row r="97">
      <c r="A97" s="1" t="s">
        <v>257</v>
      </c>
      <c r="B97" s="1">
        <v>5.0</v>
      </c>
      <c r="C97" s="1">
        <v>80.96</v>
      </c>
      <c r="D97" s="1" t="s">
        <v>96</v>
      </c>
      <c r="E97" s="1" t="s">
        <v>156</v>
      </c>
      <c r="J97" s="1" t="s">
        <v>31</v>
      </c>
      <c r="M97" s="38"/>
    </row>
    <row r="98">
      <c r="A98" s="1" t="s">
        <v>321</v>
      </c>
      <c r="B98" s="1">
        <v>7.0</v>
      </c>
      <c r="C98" s="1">
        <v>30.0</v>
      </c>
      <c r="D98" s="1" t="s">
        <v>96</v>
      </c>
      <c r="E98" s="1" t="s">
        <v>156</v>
      </c>
      <c r="J98" s="1" t="s">
        <v>15</v>
      </c>
      <c r="M98" s="38"/>
    </row>
    <row r="99">
      <c r="A99" s="1" t="s">
        <v>322</v>
      </c>
      <c r="B99" s="1">
        <v>11.0</v>
      </c>
      <c r="C99" s="1">
        <v>17.0</v>
      </c>
      <c r="D99" s="1" t="s">
        <v>96</v>
      </c>
      <c r="E99" s="1" t="s">
        <v>156</v>
      </c>
      <c r="J99" s="1" t="s">
        <v>34</v>
      </c>
      <c r="M99" s="38"/>
    </row>
    <row r="100">
      <c r="A100" s="1" t="s">
        <v>323</v>
      </c>
      <c r="B100" s="1">
        <v>15.0</v>
      </c>
      <c r="C100" s="1">
        <v>5.0</v>
      </c>
      <c r="D100" s="1" t="s">
        <v>96</v>
      </c>
      <c r="E100" s="1" t="s">
        <v>156</v>
      </c>
      <c r="J100" s="1" t="s">
        <v>31</v>
      </c>
      <c r="M100" s="38"/>
    </row>
    <row r="101">
      <c r="A101" s="1" t="s">
        <v>324</v>
      </c>
      <c r="B101" s="1">
        <v>15.0</v>
      </c>
      <c r="C101" s="1">
        <v>380.12</v>
      </c>
      <c r="D101" s="1" t="s">
        <v>96</v>
      </c>
      <c r="E101" s="1" t="s">
        <v>156</v>
      </c>
      <c r="J101" s="1" t="s">
        <v>34</v>
      </c>
      <c r="M101" s="38"/>
    </row>
    <row r="102">
      <c r="A102" s="1" t="s">
        <v>325</v>
      </c>
      <c r="B102" s="1">
        <v>18.0</v>
      </c>
      <c r="C102" s="1">
        <v>3.99</v>
      </c>
      <c r="D102" s="1" t="s">
        <v>96</v>
      </c>
      <c r="E102" s="1" t="s">
        <v>156</v>
      </c>
      <c r="J102" s="1" t="s">
        <v>39</v>
      </c>
      <c r="M102" s="38"/>
    </row>
    <row r="103">
      <c r="A103" s="1" t="s">
        <v>326</v>
      </c>
      <c r="B103" s="1">
        <v>18.0</v>
      </c>
      <c r="C103" s="1">
        <v>55.0</v>
      </c>
      <c r="D103" s="1" t="s">
        <v>96</v>
      </c>
      <c r="E103" s="1" t="s">
        <v>156</v>
      </c>
      <c r="J103" s="1" t="s">
        <v>28</v>
      </c>
      <c r="M103" s="38"/>
    </row>
    <row r="104">
      <c r="A104" s="1" t="s">
        <v>327</v>
      </c>
      <c r="B104" s="1">
        <v>19.0</v>
      </c>
      <c r="C104" s="1">
        <v>43.14</v>
      </c>
      <c r="D104" s="1" t="s">
        <v>96</v>
      </c>
      <c r="E104" s="1" t="s">
        <v>156</v>
      </c>
      <c r="J104" s="1" t="s">
        <v>28</v>
      </c>
      <c r="M104" s="38"/>
    </row>
    <row r="105">
      <c r="A105" s="1" t="s">
        <v>328</v>
      </c>
      <c r="B105" s="1">
        <v>27.0</v>
      </c>
      <c r="C105" s="1">
        <v>11.17</v>
      </c>
      <c r="D105" s="1" t="s">
        <v>96</v>
      </c>
      <c r="E105" s="1" t="s">
        <v>156</v>
      </c>
      <c r="J105" s="1" t="s">
        <v>29</v>
      </c>
      <c r="M105" s="38"/>
    </row>
    <row r="106">
      <c r="A106" s="1" t="s">
        <v>296</v>
      </c>
      <c r="B106" s="1">
        <v>27.0</v>
      </c>
      <c r="C106" s="1">
        <v>7.41</v>
      </c>
      <c r="D106" s="1" t="s">
        <v>96</v>
      </c>
      <c r="E106" s="1" t="s">
        <v>156</v>
      </c>
      <c r="J106" s="1" t="s">
        <v>32</v>
      </c>
      <c r="M106" s="38"/>
    </row>
    <row r="107">
      <c r="A107" s="1" t="s">
        <v>329</v>
      </c>
      <c r="B107" s="1">
        <v>22.0</v>
      </c>
      <c r="C107" s="1">
        <v>15.0</v>
      </c>
      <c r="D107" s="1" t="s">
        <v>96</v>
      </c>
      <c r="E107" s="1" t="s">
        <v>156</v>
      </c>
      <c r="J107" s="1" t="s">
        <v>39</v>
      </c>
      <c r="M107" s="38"/>
    </row>
    <row r="108">
      <c r="A108" s="1" t="s">
        <v>330</v>
      </c>
      <c r="B108" s="1">
        <v>29.0</v>
      </c>
      <c r="C108" s="1">
        <v>68.0</v>
      </c>
      <c r="D108" s="1" t="s">
        <v>96</v>
      </c>
      <c r="E108" s="1" t="s">
        <v>156</v>
      </c>
      <c r="J108" s="1" t="s">
        <v>42</v>
      </c>
      <c r="M108" s="38"/>
    </row>
    <row r="109">
      <c r="A109" s="1" t="s">
        <v>233</v>
      </c>
      <c r="B109" s="1">
        <v>31.0</v>
      </c>
      <c r="C109" s="1">
        <v>837.62</v>
      </c>
      <c r="D109" s="1" t="s">
        <v>96</v>
      </c>
      <c r="E109" s="1" t="s">
        <v>156</v>
      </c>
      <c r="J109" s="1" t="s">
        <v>45</v>
      </c>
      <c r="M109" s="38"/>
    </row>
    <row r="110">
      <c r="C110" s="1">
        <v>0.0</v>
      </c>
      <c r="D110" s="1" t="s">
        <v>96</v>
      </c>
      <c r="E110" s="1" t="s">
        <v>156</v>
      </c>
      <c r="J110" s="1" t="s">
        <v>45</v>
      </c>
      <c r="M110" s="38"/>
    </row>
    <row r="111">
      <c r="B111" s="1">
        <v>15.0</v>
      </c>
      <c r="C111" s="1">
        <v>0.0</v>
      </c>
      <c r="D111" s="1" t="s">
        <v>96</v>
      </c>
      <c r="E111" s="1" t="s">
        <v>156</v>
      </c>
      <c r="J111" s="1" t="s">
        <v>29</v>
      </c>
      <c r="M111" s="38"/>
    </row>
    <row r="112">
      <c r="B112" s="1">
        <v>15.0</v>
      </c>
      <c r="C112" s="1">
        <v>0.0</v>
      </c>
      <c r="D112" s="1" t="s">
        <v>96</v>
      </c>
      <c r="E112" s="1" t="s">
        <v>156</v>
      </c>
      <c r="J112" s="1" t="s">
        <v>15</v>
      </c>
      <c r="M112" s="38"/>
    </row>
    <row r="113">
      <c r="B113" s="1">
        <v>16.0</v>
      </c>
      <c r="C113" s="1">
        <v>0.0</v>
      </c>
      <c r="D113" s="1" t="s">
        <v>96</v>
      </c>
      <c r="E113" s="1" t="s">
        <v>156</v>
      </c>
      <c r="J113" s="1" t="s">
        <v>32</v>
      </c>
      <c r="M113" s="38"/>
    </row>
    <row r="114">
      <c r="B114" s="1">
        <v>16.0</v>
      </c>
      <c r="C114" s="1">
        <v>0.0</v>
      </c>
      <c r="D114" s="1" t="s">
        <v>96</v>
      </c>
      <c r="E114" s="1" t="s">
        <v>156</v>
      </c>
      <c r="J114" s="1" t="s">
        <v>20</v>
      </c>
      <c r="M114" s="38"/>
    </row>
    <row r="115">
      <c r="B115" s="1">
        <v>21.0</v>
      </c>
      <c r="C115" s="1">
        <v>0.0</v>
      </c>
      <c r="D115" s="1" t="s">
        <v>96</v>
      </c>
      <c r="E115" s="1" t="s">
        <v>156</v>
      </c>
      <c r="J115" s="1" t="s">
        <v>45</v>
      </c>
      <c r="M115" s="38"/>
    </row>
    <row r="116">
      <c r="B116" s="1">
        <v>27.0</v>
      </c>
      <c r="C116" s="1">
        <v>0.0</v>
      </c>
      <c r="D116" s="1" t="s">
        <v>96</v>
      </c>
      <c r="E116" s="1" t="s">
        <v>156</v>
      </c>
      <c r="J116" s="1" t="s">
        <v>45</v>
      </c>
      <c r="M116" s="38"/>
    </row>
    <row r="117">
      <c r="B117" s="1">
        <v>29.0</v>
      </c>
      <c r="C117" s="1">
        <v>0.0</v>
      </c>
      <c r="D117" s="1" t="s">
        <v>96</v>
      </c>
      <c r="E117" s="1" t="s">
        <v>156</v>
      </c>
      <c r="J117" s="1" t="s">
        <v>20</v>
      </c>
      <c r="M117" s="38"/>
    </row>
    <row r="118">
      <c r="B118" s="1">
        <v>28.0</v>
      </c>
      <c r="C118" s="1">
        <v>0.0</v>
      </c>
      <c r="D118" s="1"/>
      <c r="E118" s="1" t="s">
        <v>117</v>
      </c>
      <c r="J118" s="1"/>
      <c r="M118" s="38"/>
    </row>
    <row r="119">
      <c r="A119" s="1"/>
      <c r="B119" s="1"/>
      <c r="C119" s="1"/>
      <c r="J119" s="14"/>
      <c r="M119" s="38"/>
    </row>
    <row r="120">
      <c r="A120" s="1" t="s">
        <v>236</v>
      </c>
      <c r="C120" s="1">
        <f>('Resumo 2023'!C68)*0.3-(250)</f>
        <v>2899.115</v>
      </c>
      <c r="M120" s="38"/>
    </row>
    <row r="121">
      <c r="A121" s="1" t="s">
        <v>50</v>
      </c>
      <c r="C121" s="8">
        <f>SUM(C2:C118)</f>
        <v>14115.11</v>
      </c>
      <c r="D121" s="8">
        <f>('Resumo 2023'!AA68)-C121-C120</f>
        <v>-6517.175</v>
      </c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E132" s="43" t="s">
        <v>239</v>
      </c>
      <c r="F132" s="44">
        <f>SUMIF(D2:D118,"pg",C2:C118)</f>
        <v>12298.37</v>
      </c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6" t="s">
        <v>240</v>
      </c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  <row r="1038">
      <c r="M1038" s="38"/>
    </row>
    <row r="1039">
      <c r="M1039" s="38"/>
    </row>
    <row r="1040">
      <c r="M1040" s="38"/>
    </row>
    <row r="1041">
      <c r="M1041" s="38"/>
    </row>
    <row r="1042">
      <c r="M1042" s="38"/>
    </row>
    <row r="1043">
      <c r="M1043" s="38"/>
    </row>
    <row r="1044">
      <c r="M1044" s="38"/>
    </row>
    <row r="1045">
      <c r="M1045" s="38"/>
    </row>
    <row r="1046">
      <c r="M1046" s="38"/>
    </row>
    <row r="1047">
      <c r="M1047" s="38"/>
    </row>
    <row r="1048">
      <c r="M1048" s="38"/>
    </row>
  </sheetData>
  <autoFilter ref="$A$1:$BV$118"/>
  <conditionalFormatting sqref="B171">
    <cfRule type="cellIs" dxfId="1" priority="1" operator="greaterThanOrEqual">
      <formula>0</formula>
    </cfRule>
  </conditionalFormatting>
  <conditionalFormatting sqref="B171">
    <cfRule type="cellIs" dxfId="2" priority="2" operator="lessThan">
      <formula>0</formula>
    </cfRule>
  </conditionalFormatting>
  <dataValidations>
    <dataValidation type="list" allowBlank="1" showErrorMessage="1" sqref="J2:J119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veicular,ferias,projetos,dentista,pix aline,painel solar,reforma casa,boleto"</formula1>
    </dataValidation>
  </dataValidation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14.63"/>
    <col customWidth="1" min="5" max="5" width="16.38"/>
  </cols>
  <sheetData>
    <row r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 hidden="1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 hidden="1">
      <c r="A3" s="1" t="s">
        <v>102</v>
      </c>
      <c r="B3" s="1">
        <v>5.0</v>
      </c>
      <c r="C3" s="39">
        <v>850.0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 hidden="1">
      <c r="A4" s="1" t="s">
        <v>104</v>
      </c>
      <c r="B4" s="1">
        <v>5.0</v>
      </c>
      <c r="C4" s="37">
        <v>0.0</v>
      </c>
      <c r="D4" s="1" t="s">
        <v>96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 hidden="1">
      <c r="A5" s="2" t="s">
        <v>106</v>
      </c>
      <c r="B5" s="2">
        <v>14.0</v>
      </c>
      <c r="C5" s="40">
        <v>118.0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 hidden="1">
      <c r="A6" s="1" t="s">
        <v>111</v>
      </c>
      <c r="B6" s="1">
        <v>11.0</v>
      </c>
      <c r="C6" s="37">
        <v>132.76</v>
      </c>
      <c r="D6" s="1" t="s">
        <v>112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 hidden="1">
      <c r="A7" s="1" t="s">
        <v>113</v>
      </c>
      <c r="B7" s="1">
        <v>25.0</v>
      </c>
      <c r="C7" s="37">
        <v>99.9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 hidden="1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 hidden="1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 hidden="1">
      <c r="A10" s="1" t="s">
        <v>121</v>
      </c>
      <c r="B10" s="1">
        <v>5.0</v>
      </c>
      <c r="C10" s="37">
        <v>0.0</v>
      </c>
      <c r="D10" s="1" t="s">
        <v>96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 hidden="1">
      <c r="A11" s="1" t="s">
        <v>122</v>
      </c>
      <c r="B11" s="1">
        <v>2.0</v>
      </c>
      <c r="C11" s="37">
        <v>24.9</v>
      </c>
      <c r="D11" s="1" t="s">
        <v>96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 hidden="1">
      <c r="A12" s="1" t="s">
        <v>123</v>
      </c>
      <c r="B12" s="1">
        <v>15.0</v>
      </c>
      <c r="C12" s="41">
        <v>0.0</v>
      </c>
      <c r="D12" s="1" t="s">
        <v>120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 hidden="1">
      <c r="A13" s="1" t="s">
        <v>124</v>
      </c>
      <c r="B13" s="1">
        <v>8.0</v>
      </c>
      <c r="C13" s="37">
        <v>44.9</v>
      </c>
      <c r="D13" s="1" t="s">
        <v>96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 hidden="1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 hidden="1">
      <c r="A15" s="1" t="s">
        <v>126</v>
      </c>
      <c r="B15" s="1">
        <v>27.0</v>
      </c>
      <c r="C15" s="37">
        <v>244.12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 hidden="1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  <c r="N16" s="42">
        <v>45992.0</v>
      </c>
    </row>
    <row r="17" hidden="1">
      <c r="A17" s="1" t="s">
        <v>130</v>
      </c>
      <c r="B17" s="1">
        <v>27.0</v>
      </c>
      <c r="C17" s="37">
        <f>89.9+139.9</f>
        <v>229.8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 hidden="1">
      <c r="A18" s="1" t="s">
        <v>131</v>
      </c>
      <c r="B18" s="1">
        <v>10.0</v>
      </c>
      <c r="C18" s="37">
        <v>20.0</v>
      </c>
      <c r="D18" s="1" t="s">
        <v>112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 hidden="1">
      <c r="A19" s="1" t="s">
        <v>45</v>
      </c>
      <c r="B19" s="1">
        <v>8.0</v>
      </c>
      <c r="C19" s="1">
        <v>500.0</v>
      </c>
      <c r="D19" s="1" t="s">
        <v>96</v>
      </c>
      <c r="E19" s="1" t="s">
        <v>132</v>
      </c>
      <c r="G19" s="1" t="s">
        <v>98</v>
      </c>
      <c r="H19" s="1" t="s">
        <v>109</v>
      </c>
      <c r="J19" s="1" t="s">
        <v>45</v>
      </c>
      <c r="M19" s="38"/>
    </row>
    <row r="20" hidden="1">
      <c r="C20" s="1">
        <v>380.0</v>
      </c>
      <c r="D20" s="1" t="s">
        <v>96</v>
      </c>
      <c r="E20" s="1" t="s">
        <v>132</v>
      </c>
      <c r="G20" s="1" t="s">
        <v>98</v>
      </c>
      <c r="H20" s="1" t="s">
        <v>109</v>
      </c>
      <c r="J20" s="1" t="s">
        <v>16</v>
      </c>
      <c r="M20" s="38"/>
    </row>
    <row r="21" hidden="1">
      <c r="A21" s="1" t="s">
        <v>331</v>
      </c>
      <c r="B21" s="1">
        <v>6.0</v>
      </c>
      <c r="C21" s="1">
        <v>328.55</v>
      </c>
      <c r="D21" s="1" t="s">
        <v>112</v>
      </c>
      <c r="E21" s="1" t="s">
        <v>133</v>
      </c>
      <c r="G21" s="1" t="s">
        <v>98</v>
      </c>
      <c r="H21" s="1" t="s">
        <v>109</v>
      </c>
      <c r="J21" s="1" t="s">
        <v>48</v>
      </c>
      <c r="M21" s="38"/>
    </row>
    <row r="22" hidden="1">
      <c r="A22" s="1" t="s">
        <v>332</v>
      </c>
      <c r="B22" s="1">
        <v>17.0</v>
      </c>
      <c r="C22" s="1">
        <v>777.56</v>
      </c>
      <c r="D22" s="1" t="s">
        <v>112</v>
      </c>
      <c r="E22" s="1" t="s">
        <v>133</v>
      </c>
      <c r="G22" s="1" t="s">
        <v>98</v>
      </c>
      <c r="H22" s="1" t="s">
        <v>109</v>
      </c>
      <c r="J22" s="1" t="s">
        <v>46</v>
      </c>
      <c r="M22" s="38"/>
    </row>
    <row r="23" hidden="1">
      <c r="A23" s="1" t="s">
        <v>154</v>
      </c>
      <c r="B23" s="1">
        <v>0.0</v>
      </c>
      <c r="C23" s="1">
        <v>4.0</v>
      </c>
      <c r="D23" s="1" t="s">
        <v>112</v>
      </c>
      <c r="E23" s="1" t="s">
        <v>133</v>
      </c>
      <c r="G23" s="1" t="s">
        <v>98</v>
      </c>
      <c r="H23" s="1" t="s">
        <v>109</v>
      </c>
      <c r="J23" s="1" t="s">
        <v>34</v>
      </c>
      <c r="K23" s="42"/>
      <c r="M23" s="38"/>
    </row>
    <row r="24" hidden="1">
      <c r="A24" s="1" t="s">
        <v>275</v>
      </c>
      <c r="B24" s="1">
        <v>26.0</v>
      </c>
      <c r="C24" s="22">
        <v>36.0</v>
      </c>
      <c r="D24" s="1" t="s">
        <v>96</v>
      </c>
      <c r="E24" s="1" t="s">
        <v>133</v>
      </c>
      <c r="G24" s="1" t="s">
        <v>98</v>
      </c>
      <c r="H24" s="1" t="s">
        <v>109</v>
      </c>
      <c r="J24" s="1" t="s">
        <v>39</v>
      </c>
      <c r="M24" s="38"/>
      <c r="N24" s="42">
        <v>45324.0</v>
      </c>
    </row>
    <row r="25" hidden="1">
      <c r="A25" s="1" t="s">
        <v>333</v>
      </c>
      <c r="B25" s="1">
        <v>0.0</v>
      </c>
      <c r="C25" s="1">
        <v>24.0</v>
      </c>
      <c r="D25" s="1" t="s">
        <v>96</v>
      </c>
      <c r="E25" s="1" t="s">
        <v>133</v>
      </c>
      <c r="G25" s="1" t="s">
        <v>98</v>
      </c>
      <c r="H25" s="1" t="s">
        <v>109</v>
      </c>
      <c r="J25" s="1" t="s">
        <v>29</v>
      </c>
      <c r="M25" s="38"/>
    </row>
    <row r="26" hidden="1">
      <c r="A26" s="1" t="s">
        <v>334</v>
      </c>
      <c r="B26" s="1">
        <v>0.0</v>
      </c>
      <c r="C26" s="1">
        <v>40.0</v>
      </c>
      <c r="D26" s="1" t="s">
        <v>96</v>
      </c>
      <c r="E26" s="1" t="s">
        <v>133</v>
      </c>
      <c r="G26" s="1" t="s">
        <v>98</v>
      </c>
      <c r="J26" s="1" t="s">
        <v>28</v>
      </c>
      <c r="M26" s="38"/>
      <c r="N26" s="42">
        <v>45354.0</v>
      </c>
    </row>
    <row r="27" hidden="1">
      <c r="A27" s="1" t="s">
        <v>154</v>
      </c>
      <c r="B27" s="1">
        <v>0.0</v>
      </c>
      <c r="C27" s="1">
        <v>3.0</v>
      </c>
      <c r="D27" s="1" t="s">
        <v>96</v>
      </c>
      <c r="E27" s="1" t="s">
        <v>133</v>
      </c>
      <c r="G27" s="1" t="s">
        <v>98</v>
      </c>
      <c r="H27" s="1" t="s">
        <v>109</v>
      </c>
      <c r="J27" s="1" t="s">
        <v>34</v>
      </c>
      <c r="M27" s="38"/>
    </row>
    <row r="28" hidden="1">
      <c r="A28" s="1" t="s">
        <v>335</v>
      </c>
      <c r="B28" s="1">
        <v>0.0</v>
      </c>
      <c r="C28" s="1">
        <v>23.0</v>
      </c>
      <c r="D28" s="1" t="s">
        <v>96</v>
      </c>
      <c r="E28" s="1" t="s">
        <v>133</v>
      </c>
      <c r="G28" s="1" t="s">
        <v>98</v>
      </c>
      <c r="J28" s="1" t="s">
        <v>29</v>
      </c>
      <c r="M28" s="38"/>
    </row>
    <row r="29" hidden="1">
      <c r="A29" s="1" t="s">
        <v>154</v>
      </c>
      <c r="B29" s="1">
        <v>0.0</v>
      </c>
      <c r="C29" s="1">
        <v>4.2</v>
      </c>
      <c r="D29" s="1" t="s">
        <v>96</v>
      </c>
      <c r="E29" s="1" t="s">
        <v>133</v>
      </c>
      <c r="G29" s="1" t="s">
        <v>98</v>
      </c>
      <c r="J29" s="1" t="s">
        <v>29</v>
      </c>
      <c r="M29" s="38"/>
      <c r="N29" s="42">
        <v>45872.0</v>
      </c>
    </row>
    <row r="30" hidden="1">
      <c r="A30" s="1" t="s">
        <v>247</v>
      </c>
      <c r="B30" s="1">
        <v>0.0</v>
      </c>
      <c r="C30" s="1">
        <v>235.14</v>
      </c>
      <c r="D30" s="1" t="s">
        <v>96</v>
      </c>
      <c r="E30" s="1" t="s">
        <v>133</v>
      </c>
      <c r="G30" s="1" t="s">
        <v>98</v>
      </c>
      <c r="J30" s="1" t="s">
        <v>32</v>
      </c>
      <c r="M30" s="38"/>
      <c r="N30" s="42">
        <v>45993.0</v>
      </c>
    </row>
    <row r="31" hidden="1">
      <c r="A31" s="1" t="s">
        <v>323</v>
      </c>
      <c r="B31" s="1">
        <v>0.0</v>
      </c>
      <c r="C31" s="1">
        <v>9.0</v>
      </c>
      <c r="D31" s="1" t="s">
        <v>96</v>
      </c>
      <c r="E31" s="1" t="s">
        <v>133</v>
      </c>
      <c r="G31" s="1" t="s">
        <v>118</v>
      </c>
      <c r="H31" s="1" t="s">
        <v>109</v>
      </c>
      <c r="J31" s="1" t="s">
        <v>39</v>
      </c>
      <c r="M31" s="38"/>
    </row>
    <row r="32" hidden="1">
      <c r="A32" s="1" t="s">
        <v>336</v>
      </c>
      <c r="B32" s="1">
        <v>0.0</v>
      </c>
      <c r="C32" s="1">
        <v>64.88</v>
      </c>
      <c r="D32" s="1" t="s">
        <v>96</v>
      </c>
      <c r="E32" s="1" t="s">
        <v>133</v>
      </c>
      <c r="G32" s="1" t="s">
        <v>98</v>
      </c>
      <c r="J32" s="1" t="s">
        <v>25</v>
      </c>
      <c r="M32" s="38"/>
    </row>
    <row r="33" hidden="1">
      <c r="A33" s="1" t="s">
        <v>337</v>
      </c>
      <c r="B33" s="1">
        <v>0.0</v>
      </c>
      <c r="C33" s="1">
        <v>79.8</v>
      </c>
      <c r="D33" s="1" t="s">
        <v>96</v>
      </c>
      <c r="E33" s="1" t="s">
        <v>133</v>
      </c>
      <c r="G33" s="1" t="s">
        <v>98</v>
      </c>
      <c r="J33" s="1" t="s">
        <v>28</v>
      </c>
      <c r="M33" s="38"/>
    </row>
    <row r="34" hidden="1">
      <c r="A34" s="1" t="s">
        <v>338</v>
      </c>
      <c r="B34" s="1">
        <v>1.0</v>
      </c>
      <c r="C34" s="1">
        <v>50.0</v>
      </c>
      <c r="D34" s="1" t="s">
        <v>96</v>
      </c>
      <c r="E34" s="1" t="s">
        <v>133</v>
      </c>
      <c r="G34" s="1" t="s">
        <v>98</v>
      </c>
      <c r="J34" s="1" t="s">
        <v>32</v>
      </c>
      <c r="M34" s="38"/>
    </row>
    <row r="35" hidden="1">
      <c r="A35" s="1" t="s">
        <v>154</v>
      </c>
      <c r="B35" s="1">
        <v>1.0</v>
      </c>
      <c r="C35" s="1">
        <v>3.0</v>
      </c>
      <c r="D35" s="1" t="s">
        <v>96</v>
      </c>
      <c r="E35" s="1" t="s">
        <v>133</v>
      </c>
      <c r="G35" s="1" t="s">
        <v>98</v>
      </c>
      <c r="J35" s="1" t="s">
        <v>20</v>
      </c>
      <c r="M35" s="38"/>
    </row>
    <row r="36" hidden="1">
      <c r="A36" s="1" t="s">
        <v>275</v>
      </c>
      <c r="B36" s="1">
        <v>1.0</v>
      </c>
      <c r="C36" s="1">
        <v>56.0</v>
      </c>
      <c r="D36" s="1" t="s">
        <v>96</v>
      </c>
      <c r="E36" s="1" t="s">
        <v>133</v>
      </c>
      <c r="G36" s="1" t="s">
        <v>98</v>
      </c>
      <c r="J36" s="1" t="s">
        <v>35</v>
      </c>
      <c r="M36" s="38"/>
    </row>
    <row r="37" hidden="1">
      <c r="A37" s="1" t="s">
        <v>283</v>
      </c>
      <c r="B37" s="1">
        <v>1.0</v>
      </c>
      <c r="C37" s="1">
        <v>28.99</v>
      </c>
      <c r="D37" s="1" t="s">
        <v>96</v>
      </c>
      <c r="E37" s="1" t="s">
        <v>133</v>
      </c>
      <c r="G37" s="1" t="s">
        <v>98</v>
      </c>
      <c r="J37" s="1" t="s">
        <v>18</v>
      </c>
      <c r="M37" s="38"/>
    </row>
    <row r="38" hidden="1">
      <c r="A38" s="1" t="s">
        <v>296</v>
      </c>
      <c r="B38" s="1">
        <v>2.0</v>
      </c>
      <c r="C38" s="1">
        <v>27.6</v>
      </c>
      <c r="D38" s="1" t="s">
        <v>96</v>
      </c>
      <c r="E38" s="1" t="s">
        <v>133</v>
      </c>
      <c r="G38" s="1" t="s">
        <v>98</v>
      </c>
      <c r="J38" s="1" t="s">
        <v>39</v>
      </c>
      <c r="M38" s="36" t="s">
        <v>43</v>
      </c>
    </row>
    <row r="39" hidden="1">
      <c r="A39" s="1" t="s">
        <v>261</v>
      </c>
      <c r="B39" s="1">
        <v>2.0</v>
      </c>
      <c r="C39" s="1">
        <v>287.07</v>
      </c>
      <c r="D39" s="1" t="s">
        <v>96</v>
      </c>
      <c r="E39" s="1" t="s">
        <v>133</v>
      </c>
      <c r="G39" s="1" t="s">
        <v>98</v>
      </c>
      <c r="J39" s="1" t="s">
        <v>25</v>
      </c>
      <c r="M39" s="38"/>
    </row>
    <row r="40" hidden="1">
      <c r="A40" s="1" t="s">
        <v>234</v>
      </c>
      <c r="B40" s="1">
        <v>3.0</v>
      </c>
      <c r="C40" s="1">
        <v>754.08</v>
      </c>
      <c r="D40" s="1" t="s">
        <v>96</v>
      </c>
      <c r="E40" s="1" t="s">
        <v>133</v>
      </c>
      <c r="G40" s="1" t="s">
        <v>98</v>
      </c>
      <c r="J40" s="1" t="s">
        <v>29</v>
      </c>
      <c r="M40" s="38"/>
    </row>
    <row r="41" hidden="1">
      <c r="A41" s="1" t="s">
        <v>308</v>
      </c>
      <c r="B41" s="1">
        <v>4.0</v>
      </c>
      <c r="C41" s="1">
        <v>77.8</v>
      </c>
      <c r="D41" s="1" t="s">
        <v>96</v>
      </c>
      <c r="E41" s="1" t="s">
        <v>133</v>
      </c>
      <c r="G41" s="1" t="s">
        <v>98</v>
      </c>
      <c r="J41" s="1" t="s">
        <v>34</v>
      </c>
      <c r="M41" s="38"/>
    </row>
    <row r="42" hidden="1">
      <c r="A42" s="1" t="s">
        <v>339</v>
      </c>
      <c r="B42" s="1">
        <v>5.0</v>
      </c>
      <c r="C42" s="1">
        <v>164.89</v>
      </c>
      <c r="D42" s="1" t="s">
        <v>96</v>
      </c>
      <c r="E42" s="1" t="s">
        <v>133</v>
      </c>
      <c r="G42" s="1" t="s">
        <v>98</v>
      </c>
      <c r="J42" s="1" t="s">
        <v>31</v>
      </c>
      <c r="L42" s="42"/>
      <c r="M42" s="38"/>
    </row>
    <row r="43" hidden="1">
      <c r="A43" s="1" t="s">
        <v>338</v>
      </c>
      <c r="B43" s="1">
        <v>5.0</v>
      </c>
      <c r="C43" s="1">
        <v>55.78</v>
      </c>
      <c r="D43" s="1" t="s">
        <v>96</v>
      </c>
      <c r="E43" s="1" t="s">
        <v>133</v>
      </c>
      <c r="G43" s="1" t="s">
        <v>98</v>
      </c>
      <c r="J43" s="1" t="s">
        <v>24</v>
      </c>
      <c r="M43" s="38"/>
    </row>
    <row r="44" hidden="1">
      <c r="A44" s="1" t="s">
        <v>275</v>
      </c>
      <c r="B44" s="1">
        <v>5.0</v>
      </c>
      <c r="C44" s="1">
        <v>38.0</v>
      </c>
      <c r="D44" s="1" t="s">
        <v>96</v>
      </c>
      <c r="E44" s="1" t="s">
        <v>133</v>
      </c>
      <c r="G44" s="1" t="s">
        <v>98</v>
      </c>
      <c r="J44" s="1" t="s">
        <v>24</v>
      </c>
      <c r="M44" s="38"/>
    </row>
    <row r="45" hidden="1">
      <c r="A45" s="1" t="s">
        <v>154</v>
      </c>
      <c r="B45" s="1">
        <v>5.0</v>
      </c>
      <c r="C45" s="1">
        <v>4.0</v>
      </c>
      <c r="D45" s="1" t="s">
        <v>96</v>
      </c>
      <c r="E45" s="1" t="s">
        <v>133</v>
      </c>
      <c r="G45" s="1" t="s">
        <v>98</v>
      </c>
      <c r="J45" s="1" t="s">
        <v>39</v>
      </c>
      <c r="M45" s="38"/>
    </row>
    <row r="46" hidden="1">
      <c r="A46" s="1" t="s">
        <v>340</v>
      </c>
      <c r="B46" s="1">
        <v>5.0</v>
      </c>
      <c r="C46" s="1">
        <v>154.94</v>
      </c>
      <c r="D46" s="1" t="s">
        <v>96</v>
      </c>
      <c r="E46" s="1" t="s">
        <v>133</v>
      </c>
      <c r="G46" s="1" t="s">
        <v>98</v>
      </c>
      <c r="J46" s="1" t="s">
        <v>18</v>
      </c>
      <c r="M46" s="38"/>
    </row>
    <row r="47" hidden="1">
      <c r="A47" s="1" t="s">
        <v>341</v>
      </c>
      <c r="B47" s="1">
        <v>5.0</v>
      </c>
      <c r="C47" s="1">
        <v>68.14</v>
      </c>
      <c r="D47" s="1" t="s">
        <v>96</v>
      </c>
      <c r="E47" s="1" t="s">
        <v>133</v>
      </c>
      <c r="G47" s="1" t="s">
        <v>98</v>
      </c>
      <c r="J47" s="1" t="s">
        <v>25</v>
      </c>
      <c r="M47" s="38"/>
    </row>
    <row r="48" hidden="1">
      <c r="A48" s="1" t="s">
        <v>342</v>
      </c>
      <c r="B48" s="1">
        <v>5.0</v>
      </c>
      <c r="C48" s="1">
        <v>30.6</v>
      </c>
      <c r="D48" s="1" t="s">
        <v>96</v>
      </c>
      <c r="E48" s="1" t="s">
        <v>133</v>
      </c>
      <c r="G48" s="1" t="s">
        <v>98</v>
      </c>
      <c r="J48" s="1" t="s">
        <v>29</v>
      </c>
      <c r="M48" s="38"/>
    </row>
    <row r="49" hidden="1">
      <c r="A49" s="1" t="s">
        <v>343</v>
      </c>
      <c r="B49" s="1">
        <v>5.0</v>
      </c>
      <c r="C49" s="1">
        <v>34.95</v>
      </c>
      <c r="G49" s="1" t="s">
        <v>98</v>
      </c>
      <c r="J49" s="1" t="s">
        <v>29</v>
      </c>
      <c r="M49" s="38"/>
    </row>
    <row r="50" hidden="1">
      <c r="A50" s="1" t="s">
        <v>344</v>
      </c>
      <c r="B50" s="1">
        <v>6.0</v>
      </c>
      <c r="C50" s="1">
        <v>52.95</v>
      </c>
      <c r="D50" s="1" t="s">
        <v>96</v>
      </c>
      <c r="E50" s="1" t="s">
        <v>133</v>
      </c>
      <c r="G50" s="1" t="s">
        <v>98</v>
      </c>
      <c r="J50" s="1" t="s">
        <v>39</v>
      </c>
      <c r="M50" s="38"/>
    </row>
    <row r="51" hidden="1">
      <c r="A51" s="1" t="s">
        <v>345</v>
      </c>
      <c r="B51" s="1">
        <v>6.0</v>
      </c>
      <c r="C51" s="1">
        <v>253.0</v>
      </c>
      <c r="D51" s="1" t="s">
        <v>96</v>
      </c>
      <c r="E51" s="1" t="s">
        <v>133</v>
      </c>
      <c r="G51" s="1" t="s">
        <v>98</v>
      </c>
      <c r="J51" s="1" t="s">
        <v>29</v>
      </c>
      <c r="M51" s="38"/>
    </row>
    <row r="52" hidden="1">
      <c r="A52" s="1" t="s">
        <v>346</v>
      </c>
      <c r="B52" s="1">
        <v>6.0</v>
      </c>
      <c r="C52" s="1">
        <v>25.0</v>
      </c>
      <c r="D52" s="1" t="s">
        <v>96</v>
      </c>
      <c r="E52" s="1" t="s">
        <v>133</v>
      </c>
      <c r="G52" s="1" t="s">
        <v>98</v>
      </c>
      <c r="J52" s="1" t="s">
        <v>34</v>
      </c>
      <c r="M52" s="38"/>
    </row>
    <row r="53" hidden="1">
      <c r="A53" s="1" t="s">
        <v>347</v>
      </c>
      <c r="B53" s="1">
        <v>6.0</v>
      </c>
      <c r="C53" s="1">
        <v>25.44</v>
      </c>
      <c r="D53" s="1" t="s">
        <v>96</v>
      </c>
      <c r="E53" s="1" t="s">
        <v>133</v>
      </c>
      <c r="G53" s="1" t="s">
        <v>98</v>
      </c>
      <c r="J53" s="1" t="s">
        <v>24</v>
      </c>
      <c r="M53" s="38"/>
    </row>
    <row r="54" hidden="1">
      <c r="A54" s="1" t="s">
        <v>341</v>
      </c>
      <c r="B54" s="1">
        <v>7.0</v>
      </c>
      <c r="C54" s="1">
        <v>46.6</v>
      </c>
      <c r="D54" s="1" t="s">
        <v>96</v>
      </c>
      <c r="E54" s="1" t="s">
        <v>133</v>
      </c>
      <c r="G54" s="1" t="s">
        <v>98</v>
      </c>
      <c r="J54" s="1" t="s">
        <v>20</v>
      </c>
      <c r="M54" s="38"/>
    </row>
    <row r="55" hidden="1">
      <c r="A55" s="1" t="s">
        <v>342</v>
      </c>
      <c r="B55" s="1">
        <v>7.0</v>
      </c>
      <c r="C55" s="1">
        <v>30.6</v>
      </c>
      <c r="D55" s="1" t="s">
        <v>96</v>
      </c>
      <c r="E55" s="1" t="s">
        <v>133</v>
      </c>
      <c r="G55" s="1"/>
      <c r="J55" s="1" t="s">
        <v>34</v>
      </c>
      <c r="M55" s="38"/>
    </row>
    <row r="56" hidden="1">
      <c r="A56" s="1" t="s">
        <v>348</v>
      </c>
      <c r="B56" s="1">
        <v>7.0</v>
      </c>
      <c r="C56" s="1">
        <v>276.2</v>
      </c>
      <c r="D56" s="1" t="s">
        <v>96</v>
      </c>
      <c r="E56" s="1" t="s">
        <v>133</v>
      </c>
      <c r="G56" s="1"/>
      <c r="J56" s="1" t="s">
        <v>39</v>
      </c>
      <c r="M56" s="38"/>
    </row>
    <row r="57" hidden="1">
      <c r="A57" s="1" t="s">
        <v>154</v>
      </c>
      <c r="B57" s="1">
        <v>8.0</v>
      </c>
      <c r="C57" s="1">
        <v>9.0</v>
      </c>
      <c r="D57" s="1" t="s">
        <v>96</v>
      </c>
      <c r="E57" s="1" t="s">
        <v>133</v>
      </c>
      <c r="G57" s="1"/>
      <c r="J57" s="1" t="s">
        <v>18</v>
      </c>
      <c r="M57" s="38"/>
    </row>
    <row r="58" hidden="1">
      <c r="A58" s="1" t="s">
        <v>349</v>
      </c>
      <c r="B58" s="1">
        <v>8.0</v>
      </c>
      <c r="C58" s="1">
        <v>8.0</v>
      </c>
      <c r="D58" s="1" t="s">
        <v>96</v>
      </c>
      <c r="E58" s="1" t="s">
        <v>133</v>
      </c>
      <c r="G58" s="1"/>
      <c r="J58" s="1" t="s">
        <v>34</v>
      </c>
      <c r="M58" s="38"/>
    </row>
    <row r="59" hidden="1">
      <c r="A59" s="1" t="s">
        <v>308</v>
      </c>
      <c r="B59" s="1">
        <v>8.0</v>
      </c>
      <c r="C59" s="1">
        <v>38.9</v>
      </c>
      <c r="D59" s="1"/>
      <c r="E59" s="1" t="s">
        <v>133</v>
      </c>
      <c r="G59" s="1"/>
      <c r="J59" s="1" t="s">
        <v>39</v>
      </c>
      <c r="M59" s="38"/>
    </row>
    <row r="60" hidden="1">
      <c r="A60" s="1" t="s">
        <v>158</v>
      </c>
      <c r="B60" s="1">
        <v>9.0</v>
      </c>
      <c r="C60" s="1">
        <v>104.05</v>
      </c>
      <c r="D60" s="1" t="s">
        <v>96</v>
      </c>
      <c r="E60" s="1" t="s">
        <v>133</v>
      </c>
      <c r="G60" s="1"/>
      <c r="J60" s="1" t="s">
        <v>24</v>
      </c>
      <c r="M60" s="38"/>
    </row>
    <row r="61" hidden="1">
      <c r="A61" s="1" t="s">
        <v>350</v>
      </c>
      <c r="B61" s="1">
        <v>9.0</v>
      </c>
      <c r="C61" s="1">
        <v>34.61</v>
      </c>
      <c r="D61" s="1" t="s">
        <v>96</v>
      </c>
      <c r="E61" s="1" t="s">
        <v>133</v>
      </c>
      <c r="G61" s="1"/>
      <c r="J61" s="1" t="s">
        <v>31</v>
      </c>
      <c r="M61" s="38"/>
    </row>
    <row r="62" hidden="1">
      <c r="A62" s="1" t="s">
        <v>338</v>
      </c>
      <c r="B62" s="1">
        <v>10.0</v>
      </c>
      <c r="C62" s="1">
        <v>67.51</v>
      </c>
      <c r="D62" s="1" t="s">
        <v>96</v>
      </c>
      <c r="E62" s="1" t="s">
        <v>133</v>
      </c>
      <c r="G62" s="1"/>
      <c r="J62" s="1" t="s">
        <v>29</v>
      </c>
      <c r="M62" s="38"/>
    </row>
    <row r="63" hidden="1">
      <c r="A63" s="1" t="s">
        <v>275</v>
      </c>
      <c r="B63" s="1">
        <v>10.0</v>
      </c>
      <c r="C63" s="1">
        <v>38.0</v>
      </c>
      <c r="D63" s="1" t="s">
        <v>96</v>
      </c>
      <c r="E63" s="1" t="s">
        <v>133</v>
      </c>
      <c r="G63" s="1"/>
      <c r="J63" s="1" t="s">
        <v>18</v>
      </c>
      <c r="M63" s="38"/>
    </row>
    <row r="64" hidden="1">
      <c r="A64" s="1" t="s">
        <v>250</v>
      </c>
      <c r="B64" s="1">
        <v>11.0</v>
      </c>
      <c r="C64" s="1">
        <v>29.07</v>
      </c>
      <c r="D64" s="1" t="s">
        <v>96</v>
      </c>
      <c r="E64" s="1" t="s">
        <v>133</v>
      </c>
      <c r="G64" s="1"/>
      <c r="J64" s="1" t="s">
        <v>29</v>
      </c>
      <c r="M64" s="38"/>
    </row>
    <row r="65" hidden="1">
      <c r="A65" s="1" t="s">
        <v>154</v>
      </c>
      <c r="B65" s="1">
        <v>12.0</v>
      </c>
      <c r="C65" s="1">
        <v>7.0</v>
      </c>
      <c r="D65" s="1" t="s">
        <v>96</v>
      </c>
      <c r="E65" s="1" t="s">
        <v>133</v>
      </c>
      <c r="G65" s="1"/>
      <c r="J65" s="1" t="s">
        <v>34</v>
      </c>
      <c r="L65" s="42"/>
      <c r="M65" s="38"/>
    </row>
    <row r="66" hidden="1">
      <c r="A66" s="1" t="s">
        <v>295</v>
      </c>
      <c r="B66" s="1">
        <v>12.0</v>
      </c>
      <c r="C66" s="1">
        <v>50.0</v>
      </c>
      <c r="D66" s="1" t="s">
        <v>96</v>
      </c>
      <c r="E66" s="1" t="s">
        <v>133</v>
      </c>
      <c r="G66" s="1"/>
      <c r="J66" s="1" t="s">
        <v>39</v>
      </c>
      <c r="M66" s="38"/>
    </row>
    <row r="67" hidden="1">
      <c r="A67" s="1" t="s">
        <v>154</v>
      </c>
      <c r="B67" s="1">
        <v>12.0</v>
      </c>
      <c r="C67" s="1">
        <v>4.0</v>
      </c>
      <c r="D67" s="1" t="s">
        <v>96</v>
      </c>
      <c r="E67" s="1" t="s">
        <v>133</v>
      </c>
      <c r="J67" s="1" t="s">
        <v>29</v>
      </c>
      <c r="M67" s="38"/>
    </row>
    <row r="68" hidden="1">
      <c r="A68" s="1" t="s">
        <v>290</v>
      </c>
      <c r="B68" s="1">
        <v>12.0</v>
      </c>
      <c r="C68" s="1">
        <v>34.44</v>
      </c>
      <c r="D68" s="1" t="s">
        <v>96</v>
      </c>
      <c r="E68" s="1" t="s">
        <v>133</v>
      </c>
      <c r="J68" s="1" t="s">
        <v>24</v>
      </c>
      <c r="M68" s="38"/>
    </row>
    <row r="69" hidden="1">
      <c r="A69" s="1" t="s">
        <v>247</v>
      </c>
      <c r="B69" s="1">
        <v>13.0</v>
      </c>
      <c r="C69" s="1">
        <v>91.57</v>
      </c>
      <c r="D69" s="1" t="s">
        <v>96</v>
      </c>
      <c r="E69" s="1" t="s">
        <v>133</v>
      </c>
      <c r="J69" s="1" t="s">
        <v>49</v>
      </c>
      <c r="M69" s="38"/>
    </row>
    <row r="70" hidden="1">
      <c r="A70" s="1" t="s">
        <v>291</v>
      </c>
      <c r="B70" s="1">
        <v>14.0</v>
      </c>
      <c r="C70" s="1">
        <v>281.68</v>
      </c>
      <c r="D70" s="1" t="s">
        <v>96</v>
      </c>
      <c r="E70" s="1" t="s">
        <v>133</v>
      </c>
      <c r="J70" s="1" t="s">
        <v>28</v>
      </c>
      <c r="M70" s="38"/>
    </row>
    <row r="71" hidden="1">
      <c r="A71" s="1" t="s">
        <v>351</v>
      </c>
      <c r="B71" s="1">
        <v>14.0</v>
      </c>
      <c r="C71" s="1">
        <v>67.7</v>
      </c>
      <c r="D71" s="1" t="s">
        <v>96</v>
      </c>
      <c r="E71" s="1" t="s">
        <v>133</v>
      </c>
      <c r="J71" s="1" t="s">
        <v>44</v>
      </c>
      <c r="M71" s="38"/>
    </row>
    <row r="72" hidden="1">
      <c r="A72" s="1" t="s">
        <v>352</v>
      </c>
      <c r="B72" s="1">
        <v>14.0</v>
      </c>
      <c r="C72" s="1">
        <v>99.0</v>
      </c>
      <c r="D72" s="1" t="s">
        <v>96</v>
      </c>
      <c r="E72" s="1" t="s">
        <v>133</v>
      </c>
      <c r="J72" s="1" t="s">
        <v>28</v>
      </c>
      <c r="K72" s="42"/>
      <c r="M72" s="38"/>
    </row>
    <row r="73" hidden="1">
      <c r="A73" s="1" t="s">
        <v>154</v>
      </c>
      <c r="B73" s="1">
        <v>15.0</v>
      </c>
      <c r="C73" s="1">
        <v>4.0</v>
      </c>
      <c r="D73" s="1" t="s">
        <v>96</v>
      </c>
      <c r="E73" s="1" t="s">
        <v>133</v>
      </c>
      <c r="J73" s="1" t="s">
        <v>35</v>
      </c>
      <c r="M73" s="38"/>
    </row>
    <row r="74" hidden="1">
      <c r="A74" s="1" t="s">
        <v>338</v>
      </c>
      <c r="B74" s="1">
        <v>15.0</v>
      </c>
      <c r="C74" s="1">
        <v>50.03</v>
      </c>
      <c r="D74" s="1" t="s">
        <v>96</v>
      </c>
      <c r="E74" s="1" t="s">
        <v>133</v>
      </c>
      <c r="J74" s="1" t="s">
        <v>15</v>
      </c>
      <c r="M74" s="38"/>
    </row>
    <row r="75" hidden="1">
      <c r="A75" s="1" t="s">
        <v>353</v>
      </c>
      <c r="B75" s="1">
        <v>16.0</v>
      </c>
      <c r="C75" s="1">
        <v>23.0</v>
      </c>
      <c r="D75" s="1" t="s">
        <v>96</v>
      </c>
      <c r="E75" s="1" t="s">
        <v>133</v>
      </c>
      <c r="J75" s="1" t="s">
        <v>34</v>
      </c>
      <c r="M75" s="38"/>
    </row>
    <row r="76" hidden="1">
      <c r="A76" s="1" t="s">
        <v>249</v>
      </c>
      <c r="B76" s="1">
        <v>17.0</v>
      </c>
      <c r="C76" s="1">
        <v>45.58</v>
      </c>
      <c r="D76" s="1" t="s">
        <v>96</v>
      </c>
      <c r="E76" s="1" t="s">
        <v>133</v>
      </c>
      <c r="J76" s="1" t="s">
        <v>28</v>
      </c>
      <c r="M76" s="38"/>
    </row>
    <row r="77" hidden="1">
      <c r="A77" s="1" t="s">
        <v>354</v>
      </c>
      <c r="B77" s="1">
        <v>18.0</v>
      </c>
      <c r="C77" s="1">
        <v>10.9</v>
      </c>
      <c r="D77" s="1" t="s">
        <v>96</v>
      </c>
      <c r="E77" s="1" t="s">
        <v>133</v>
      </c>
      <c r="J77" s="1" t="s">
        <v>31</v>
      </c>
      <c r="M77" s="38"/>
    </row>
    <row r="78" hidden="1">
      <c r="A78" s="1" t="s">
        <v>165</v>
      </c>
      <c r="B78" s="1">
        <v>18.0</v>
      </c>
      <c r="C78" s="1">
        <v>114.91</v>
      </c>
      <c r="D78" s="1" t="s">
        <v>96</v>
      </c>
      <c r="E78" s="1" t="s">
        <v>133</v>
      </c>
      <c r="J78" s="1" t="s">
        <v>39</v>
      </c>
      <c r="M78" s="38"/>
    </row>
    <row r="79" hidden="1">
      <c r="A79" s="1" t="s">
        <v>308</v>
      </c>
      <c r="B79" s="1">
        <v>18.0</v>
      </c>
      <c r="C79" s="1">
        <v>84.7</v>
      </c>
      <c r="D79" s="1" t="s">
        <v>96</v>
      </c>
      <c r="E79" s="1" t="s">
        <v>133</v>
      </c>
      <c r="J79" s="1" t="s">
        <v>18</v>
      </c>
      <c r="M79" s="38"/>
    </row>
    <row r="80" hidden="1">
      <c r="A80" s="1" t="s">
        <v>296</v>
      </c>
      <c r="B80" s="1">
        <v>19.0</v>
      </c>
      <c r="C80" s="1">
        <v>36.0</v>
      </c>
      <c r="D80" s="1" t="s">
        <v>96</v>
      </c>
      <c r="E80" s="1" t="s">
        <v>133</v>
      </c>
      <c r="J80" s="1" t="s">
        <v>39</v>
      </c>
      <c r="M80" s="38"/>
    </row>
    <row r="81" hidden="1">
      <c r="A81" s="1" t="s">
        <v>338</v>
      </c>
      <c r="B81" s="1">
        <v>19.0</v>
      </c>
      <c r="C81" s="1">
        <v>60.77</v>
      </c>
      <c r="D81" s="1" t="s">
        <v>96</v>
      </c>
      <c r="E81" s="1" t="s">
        <v>133</v>
      </c>
      <c r="J81" s="1" t="s">
        <v>31</v>
      </c>
      <c r="M81" s="38"/>
    </row>
    <row r="82" hidden="1">
      <c r="A82" s="1" t="s">
        <v>333</v>
      </c>
      <c r="B82" s="1">
        <v>19.0</v>
      </c>
      <c r="C82" s="1">
        <v>24.0</v>
      </c>
      <c r="D82" s="1" t="s">
        <v>96</v>
      </c>
      <c r="E82" s="1" t="s">
        <v>133</v>
      </c>
      <c r="J82" s="1" t="s">
        <v>39</v>
      </c>
      <c r="M82" s="38"/>
    </row>
    <row r="83" hidden="1">
      <c r="A83" s="1" t="s">
        <v>355</v>
      </c>
      <c r="B83" s="1">
        <v>19.0</v>
      </c>
      <c r="C83" s="1">
        <v>26.0</v>
      </c>
      <c r="D83" s="1" t="s">
        <v>96</v>
      </c>
      <c r="E83" s="1" t="s">
        <v>133</v>
      </c>
      <c r="J83" s="1" t="s">
        <v>34</v>
      </c>
      <c r="M83" s="38"/>
    </row>
    <row r="84" hidden="1">
      <c r="A84" s="1" t="s">
        <v>154</v>
      </c>
      <c r="B84" s="1">
        <v>20.0</v>
      </c>
      <c r="C84" s="1">
        <v>12.0</v>
      </c>
      <c r="D84" s="1" t="s">
        <v>96</v>
      </c>
      <c r="E84" s="1" t="s">
        <v>133</v>
      </c>
      <c r="J84" s="1" t="s">
        <v>40</v>
      </c>
      <c r="M84" s="38"/>
    </row>
    <row r="85" hidden="1">
      <c r="A85" s="1" t="s">
        <v>261</v>
      </c>
      <c r="B85" s="1">
        <v>20.0</v>
      </c>
      <c r="C85" s="1">
        <v>287.5</v>
      </c>
      <c r="D85" s="1" t="s">
        <v>96</v>
      </c>
      <c r="E85" s="1" t="s">
        <v>133</v>
      </c>
      <c r="J85" s="1" t="s">
        <v>29</v>
      </c>
      <c r="M85" s="38"/>
    </row>
    <row r="86" hidden="1">
      <c r="A86" s="1" t="s">
        <v>356</v>
      </c>
      <c r="B86" s="1">
        <v>21.0</v>
      </c>
      <c r="C86" s="1">
        <v>75.87</v>
      </c>
      <c r="D86" s="1" t="s">
        <v>96</v>
      </c>
      <c r="E86" s="1" t="s">
        <v>133</v>
      </c>
      <c r="J86" s="1" t="s">
        <v>31</v>
      </c>
      <c r="M86" s="38"/>
    </row>
    <row r="87" hidden="1">
      <c r="A87" s="1" t="s">
        <v>347</v>
      </c>
      <c r="B87" s="1">
        <v>21.0</v>
      </c>
      <c r="C87" s="1">
        <v>40.03</v>
      </c>
      <c r="D87" s="1" t="s">
        <v>96</v>
      </c>
      <c r="E87" s="1" t="s">
        <v>133</v>
      </c>
      <c r="J87" s="1" t="s">
        <v>39</v>
      </c>
      <c r="M87" s="38"/>
    </row>
    <row r="88" hidden="1">
      <c r="A88" s="1" t="s">
        <v>247</v>
      </c>
      <c r="B88" s="1">
        <v>21.0</v>
      </c>
      <c r="C88" s="1">
        <v>113.0</v>
      </c>
      <c r="D88" s="1" t="s">
        <v>96</v>
      </c>
      <c r="E88" s="1" t="s">
        <v>133</v>
      </c>
      <c r="J88" s="1" t="s">
        <v>28</v>
      </c>
      <c r="M88" s="38"/>
    </row>
    <row r="89" hidden="1">
      <c r="A89" s="1" t="s">
        <v>283</v>
      </c>
      <c r="B89" s="1">
        <v>23.0</v>
      </c>
      <c r="C89" s="1">
        <v>45.25</v>
      </c>
      <c r="D89" s="1" t="s">
        <v>96</v>
      </c>
      <c r="E89" s="1" t="s">
        <v>133</v>
      </c>
      <c r="J89" s="1" t="s">
        <v>24</v>
      </c>
      <c r="M89" s="38"/>
    </row>
    <row r="90" hidden="1">
      <c r="A90" s="1" t="s">
        <v>261</v>
      </c>
      <c r="B90" s="1">
        <v>24.0</v>
      </c>
      <c r="C90" s="1">
        <v>32.48</v>
      </c>
      <c r="D90" s="1" t="s">
        <v>96</v>
      </c>
      <c r="E90" s="1" t="s">
        <v>133</v>
      </c>
      <c r="J90" s="1" t="s">
        <v>39</v>
      </c>
      <c r="M90" s="38"/>
    </row>
    <row r="91" hidden="1">
      <c r="A91" s="1" t="s">
        <v>357</v>
      </c>
      <c r="B91" s="1">
        <v>24.0</v>
      </c>
      <c r="C91" s="1">
        <v>143.8</v>
      </c>
      <c r="D91" s="1" t="s">
        <v>96</v>
      </c>
      <c r="E91" s="1" t="s">
        <v>133</v>
      </c>
      <c r="J91" s="1" t="s">
        <v>29</v>
      </c>
      <c r="M91" s="38"/>
    </row>
    <row r="92" hidden="1">
      <c r="A92" s="1" t="s">
        <v>358</v>
      </c>
      <c r="B92" s="1">
        <v>6.0</v>
      </c>
      <c r="C92" s="1">
        <v>14.65</v>
      </c>
      <c r="D92" s="1" t="s">
        <v>96</v>
      </c>
      <c r="E92" s="1" t="s">
        <v>133</v>
      </c>
      <c r="J92" s="1" t="s">
        <v>44</v>
      </c>
      <c r="M92" s="38"/>
    </row>
    <row r="93" hidden="1">
      <c r="A93" s="1" t="s">
        <v>154</v>
      </c>
      <c r="B93" s="1">
        <v>2.0</v>
      </c>
      <c r="C93" s="1">
        <v>2.0</v>
      </c>
      <c r="D93" s="1" t="s">
        <v>96</v>
      </c>
      <c r="E93" s="1" t="s">
        <v>156</v>
      </c>
      <c r="J93" s="1" t="s">
        <v>18</v>
      </c>
      <c r="M93" s="38"/>
    </row>
    <row r="94" hidden="1">
      <c r="A94" s="1" t="s">
        <v>359</v>
      </c>
      <c r="B94" s="1">
        <v>8.0</v>
      </c>
      <c r="C94" s="1">
        <v>7.5</v>
      </c>
      <c r="D94" s="1" t="s">
        <v>96</v>
      </c>
      <c r="E94" s="1" t="s">
        <v>156</v>
      </c>
      <c r="J94" s="1" t="s">
        <v>20</v>
      </c>
      <c r="M94" s="38"/>
    </row>
    <row r="95" hidden="1">
      <c r="A95" s="1" t="s">
        <v>360</v>
      </c>
      <c r="B95" s="1">
        <v>8.0</v>
      </c>
      <c r="C95" s="1">
        <v>30.0</v>
      </c>
      <c r="D95" s="1" t="s">
        <v>96</v>
      </c>
      <c r="E95" s="1" t="s">
        <v>156</v>
      </c>
      <c r="J95" s="1" t="s">
        <v>32</v>
      </c>
      <c r="M95" s="38"/>
    </row>
    <row r="96" hidden="1">
      <c r="A96" s="1" t="s">
        <v>361</v>
      </c>
      <c r="B96" s="1">
        <v>15.0</v>
      </c>
      <c r="C96" s="1">
        <v>17.0</v>
      </c>
      <c r="D96" s="1" t="s">
        <v>96</v>
      </c>
      <c r="E96" s="1" t="s">
        <v>156</v>
      </c>
      <c r="J96" s="1" t="s">
        <v>32</v>
      </c>
      <c r="M96" s="38"/>
    </row>
    <row r="97" hidden="1">
      <c r="A97" s="1" t="s">
        <v>264</v>
      </c>
      <c r="B97" s="1">
        <v>18.0</v>
      </c>
      <c r="C97" s="1">
        <v>5.0</v>
      </c>
      <c r="D97" s="1" t="s">
        <v>96</v>
      </c>
      <c r="E97" s="1" t="s">
        <v>156</v>
      </c>
      <c r="J97" s="1" t="s">
        <v>31</v>
      </c>
      <c r="M97" s="38"/>
    </row>
    <row r="98" hidden="1">
      <c r="A98" s="1" t="s">
        <v>362</v>
      </c>
      <c r="B98" s="1">
        <v>18.0</v>
      </c>
      <c r="C98" s="1">
        <v>10.0</v>
      </c>
      <c r="D98" s="1" t="s">
        <v>96</v>
      </c>
      <c r="E98" s="1" t="s">
        <v>156</v>
      </c>
      <c r="J98" s="1" t="s">
        <v>15</v>
      </c>
      <c r="M98" s="38"/>
    </row>
    <row r="99" hidden="1">
      <c r="A99" s="1" t="s">
        <v>363</v>
      </c>
      <c r="B99" s="1">
        <v>19.0</v>
      </c>
      <c r="C99" s="1">
        <v>19.5</v>
      </c>
      <c r="D99" s="1" t="s">
        <v>96</v>
      </c>
      <c r="E99" s="1" t="s">
        <v>156</v>
      </c>
      <c r="J99" s="1" t="s">
        <v>34</v>
      </c>
      <c r="M99" s="38"/>
    </row>
    <row r="100" hidden="1">
      <c r="A100" s="1" t="s">
        <v>364</v>
      </c>
      <c r="B100" s="1">
        <v>24.0</v>
      </c>
      <c r="C100" s="1">
        <v>10.0</v>
      </c>
      <c r="D100" s="1" t="s">
        <v>96</v>
      </c>
      <c r="E100" s="1" t="s">
        <v>156</v>
      </c>
      <c r="J100" s="1" t="s">
        <v>31</v>
      </c>
      <c r="M100" s="38"/>
    </row>
    <row r="101" hidden="1">
      <c r="A101" s="1" t="s">
        <v>365</v>
      </c>
      <c r="B101" s="1">
        <v>29.0</v>
      </c>
      <c r="C101" s="1">
        <v>4.0</v>
      </c>
      <c r="D101" s="1" t="s">
        <v>96</v>
      </c>
      <c r="E101" s="1" t="s">
        <v>156</v>
      </c>
      <c r="J101" s="1" t="s">
        <v>34</v>
      </c>
      <c r="M101" s="38"/>
    </row>
    <row r="102" hidden="1">
      <c r="A102" s="1" t="s">
        <v>366</v>
      </c>
      <c r="B102" s="1">
        <v>5.0</v>
      </c>
      <c r="C102" s="1">
        <v>185.0</v>
      </c>
      <c r="D102" s="1" t="s">
        <v>96</v>
      </c>
      <c r="E102" s="1" t="s">
        <v>156</v>
      </c>
      <c r="J102" s="1" t="s">
        <v>39</v>
      </c>
      <c r="M102" s="38"/>
    </row>
    <row r="103" hidden="1">
      <c r="A103" s="1" t="s">
        <v>367</v>
      </c>
      <c r="B103" s="1">
        <v>10.0</v>
      </c>
      <c r="C103" s="1">
        <v>30.0</v>
      </c>
      <c r="D103" s="1" t="s">
        <v>96</v>
      </c>
      <c r="E103" s="1" t="s">
        <v>156</v>
      </c>
      <c r="J103" s="1" t="s">
        <v>28</v>
      </c>
      <c r="M103" s="38"/>
    </row>
    <row r="104" hidden="1">
      <c r="A104" s="1" t="s">
        <v>368</v>
      </c>
      <c r="B104" s="1">
        <v>10.0</v>
      </c>
      <c r="C104" s="1">
        <v>15.0</v>
      </c>
      <c r="D104" s="1" t="s">
        <v>96</v>
      </c>
      <c r="E104" s="1" t="s">
        <v>156</v>
      </c>
      <c r="J104" s="1" t="s">
        <v>28</v>
      </c>
      <c r="M104" s="38"/>
    </row>
    <row r="105" hidden="1">
      <c r="A105" s="1" t="s">
        <v>368</v>
      </c>
      <c r="B105" s="1">
        <v>10.0</v>
      </c>
      <c r="C105" s="1">
        <v>5.0</v>
      </c>
      <c r="D105" s="1" t="s">
        <v>96</v>
      </c>
      <c r="E105" s="1" t="s">
        <v>156</v>
      </c>
      <c r="J105" s="1" t="s">
        <v>29</v>
      </c>
      <c r="M105" s="38"/>
    </row>
    <row r="106" hidden="1">
      <c r="A106" s="1" t="s">
        <v>369</v>
      </c>
      <c r="B106" s="1">
        <v>12.0</v>
      </c>
      <c r="C106" s="1">
        <v>653.47</v>
      </c>
      <c r="D106" s="1" t="s">
        <v>96</v>
      </c>
      <c r="E106" s="1" t="s">
        <v>156</v>
      </c>
      <c r="J106" s="1" t="s">
        <v>32</v>
      </c>
      <c r="M106" s="38"/>
    </row>
    <row r="107" hidden="1">
      <c r="A107" s="1" t="s">
        <v>370</v>
      </c>
      <c r="B107" s="1">
        <v>12.0</v>
      </c>
      <c r="C107" s="1">
        <v>132.81</v>
      </c>
      <c r="D107" s="1" t="s">
        <v>96</v>
      </c>
      <c r="E107" s="1" t="s">
        <v>156</v>
      </c>
      <c r="J107" s="1" t="s">
        <v>39</v>
      </c>
      <c r="M107" s="38"/>
    </row>
    <row r="108" hidden="1">
      <c r="A108" s="1" t="s">
        <v>366</v>
      </c>
      <c r="B108" s="1">
        <v>12.0</v>
      </c>
      <c r="C108" s="1">
        <v>200.0</v>
      </c>
      <c r="D108" s="1" t="s">
        <v>96</v>
      </c>
      <c r="E108" s="1" t="s">
        <v>156</v>
      </c>
      <c r="J108" s="1" t="s">
        <v>42</v>
      </c>
      <c r="M108" s="38"/>
    </row>
    <row r="109" hidden="1">
      <c r="A109" s="1" t="s">
        <v>371</v>
      </c>
      <c r="B109" s="1">
        <v>14.0</v>
      </c>
      <c r="C109" s="1">
        <v>581.38</v>
      </c>
      <c r="D109" s="1" t="s">
        <v>96</v>
      </c>
      <c r="E109" s="1" t="s">
        <v>156</v>
      </c>
      <c r="J109" s="1" t="s">
        <v>45</v>
      </c>
      <c r="M109" s="38"/>
    </row>
    <row r="110" hidden="1">
      <c r="A110" s="1" t="s">
        <v>372</v>
      </c>
      <c r="B110" s="1">
        <v>17.0</v>
      </c>
      <c r="C110" s="1">
        <f>14.58+104.67+85.7</f>
        <v>204.95</v>
      </c>
      <c r="D110" s="1" t="s">
        <v>96</v>
      </c>
      <c r="E110" s="1" t="s">
        <v>156</v>
      </c>
      <c r="J110" s="1" t="s">
        <v>45</v>
      </c>
      <c r="M110" s="38"/>
    </row>
    <row r="111" hidden="1">
      <c r="A111" s="1" t="s">
        <v>233</v>
      </c>
      <c r="B111" s="1">
        <v>21.0</v>
      </c>
      <c r="C111" s="1">
        <v>793.45</v>
      </c>
      <c r="D111" s="1" t="s">
        <v>96</v>
      </c>
      <c r="E111" s="1" t="s">
        <v>156</v>
      </c>
      <c r="J111" s="1" t="s">
        <v>29</v>
      </c>
      <c r="M111" s="38"/>
    </row>
    <row r="112" hidden="1">
      <c r="A112" s="1" t="s">
        <v>373</v>
      </c>
      <c r="B112" s="1">
        <v>21.0</v>
      </c>
      <c r="C112" s="1">
        <v>137.75</v>
      </c>
      <c r="D112" s="1" t="s">
        <v>96</v>
      </c>
      <c r="E112" s="1" t="s">
        <v>156</v>
      </c>
      <c r="J112" s="1" t="s">
        <v>15</v>
      </c>
      <c r="M112" s="38"/>
    </row>
    <row r="113" hidden="1">
      <c r="A113" s="1" t="s">
        <v>374</v>
      </c>
      <c r="B113" s="1">
        <v>22.0</v>
      </c>
      <c r="C113" s="1">
        <v>86.9</v>
      </c>
      <c r="D113" s="1" t="s">
        <v>96</v>
      </c>
      <c r="E113" s="1" t="s">
        <v>156</v>
      </c>
      <c r="J113" s="1" t="s">
        <v>32</v>
      </c>
      <c r="M113" s="38"/>
    </row>
    <row r="114" hidden="1">
      <c r="A114" s="1" t="s">
        <v>364</v>
      </c>
      <c r="B114" s="1">
        <v>26.0</v>
      </c>
      <c r="C114" s="1">
        <v>8.0</v>
      </c>
      <c r="D114" s="1" t="s">
        <v>96</v>
      </c>
      <c r="E114" s="1" t="s">
        <v>156</v>
      </c>
      <c r="J114" s="1" t="s">
        <v>20</v>
      </c>
      <c r="M114" s="38"/>
    </row>
    <row r="115" hidden="1">
      <c r="A115" s="1" t="s">
        <v>115</v>
      </c>
      <c r="B115" s="1">
        <v>27.0</v>
      </c>
      <c r="C115" s="1">
        <v>200.0</v>
      </c>
      <c r="D115" s="1" t="s">
        <v>96</v>
      </c>
      <c r="E115" s="1" t="s">
        <v>156</v>
      </c>
      <c r="J115" s="1" t="s">
        <v>45</v>
      </c>
      <c r="M115" s="38"/>
    </row>
    <row r="116" hidden="1">
      <c r="A116" s="1" t="s">
        <v>367</v>
      </c>
      <c r="B116" s="1">
        <v>27.0</v>
      </c>
      <c r="C116" s="1">
        <v>15.0</v>
      </c>
      <c r="D116" s="1" t="s">
        <v>96</v>
      </c>
      <c r="E116" s="1" t="s">
        <v>156</v>
      </c>
      <c r="J116" s="1" t="s">
        <v>45</v>
      </c>
      <c r="M116" s="38"/>
    </row>
    <row r="117" hidden="1">
      <c r="A117" s="1" t="s">
        <v>375</v>
      </c>
      <c r="B117" s="1">
        <v>27.0</v>
      </c>
      <c r="C117" s="1">
        <v>440.0</v>
      </c>
      <c r="D117" s="1" t="s">
        <v>96</v>
      </c>
      <c r="E117" s="1" t="s">
        <v>156</v>
      </c>
      <c r="J117" s="1" t="s">
        <v>20</v>
      </c>
      <c r="M117" s="38"/>
    </row>
    <row r="118" hidden="1">
      <c r="A118" s="1" t="s">
        <v>115</v>
      </c>
      <c r="B118" s="1">
        <v>10.0</v>
      </c>
      <c r="C118" s="1">
        <v>7000.0</v>
      </c>
      <c r="D118" s="1" t="s">
        <v>96</v>
      </c>
      <c r="E118" s="1" t="s">
        <v>156</v>
      </c>
      <c r="J118" s="1"/>
      <c r="M118" s="38"/>
    </row>
    <row r="119">
      <c r="A119" s="1"/>
      <c r="B119" s="1"/>
      <c r="C119" s="1"/>
      <c r="J119" s="14"/>
      <c r="M119" s="38"/>
    </row>
    <row r="120">
      <c r="A120" s="1" t="s">
        <v>236</v>
      </c>
      <c r="C120" s="1">
        <f>('Resumo 2023'!C68)*0.3-(250)</f>
        <v>2899.115</v>
      </c>
      <c r="M120" s="38"/>
    </row>
    <row r="121">
      <c r="A121" s="1" t="s">
        <v>50</v>
      </c>
      <c r="C121" s="8">
        <f>SUM(C2:C118)</f>
        <v>20630.8</v>
      </c>
      <c r="D121" s="8">
        <f>('Resumo 2023'!AA68)-C121-C120</f>
        <v>-13032.865</v>
      </c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E132" s="43" t="s">
        <v>239</v>
      </c>
      <c r="F132" s="44">
        <f>SUMIF(D2:D118,"pg",C2:C118)</f>
        <v>18800.21</v>
      </c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6" t="s">
        <v>240</v>
      </c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  <row r="1038">
      <c r="M1038" s="38"/>
    </row>
    <row r="1039">
      <c r="M1039" s="38"/>
    </row>
    <row r="1040">
      <c r="M1040" s="38"/>
    </row>
    <row r="1041">
      <c r="M1041" s="38"/>
    </row>
    <row r="1042">
      <c r="M1042" s="38"/>
    </row>
    <row r="1043">
      <c r="M1043" s="38"/>
    </row>
    <row r="1044">
      <c r="M1044" s="38"/>
    </row>
    <row r="1045">
      <c r="M1045" s="38"/>
    </row>
    <row r="1046">
      <c r="M1046" s="38"/>
    </row>
    <row r="1047">
      <c r="M1047" s="38"/>
    </row>
    <row r="1048">
      <c r="M1048" s="38"/>
    </row>
  </sheetData>
  <autoFilter ref="$A$1:$BV$118">
    <filterColumn colId="4">
      <filters>
        <filter val="bradesco cartoes"/>
        <filter val="pix"/>
      </filters>
    </filterColumn>
  </autoFilter>
  <conditionalFormatting sqref="B171">
    <cfRule type="cellIs" dxfId="1" priority="1" operator="greaterThanOrEqual">
      <formula>0</formula>
    </cfRule>
  </conditionalFormatting>
  <conditionalFormatting sqref="B171">
    <cfRule type="cellIs" dxfId="2" priority="2" operator="lessThan">
      <formula>0</formula>
    </cfRule>
  </conditionalFormatting>
  <dataValidations>
    <dataValidation type="list" allowBlank="1" showErrorMessage="1" sqref="J2:J119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veicular,ferias,projetos,dentista,pix aline,painel solar,reforma casa,boleto"</formula1>
    </dataValidation>
  </dataValidation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14.63"/>
    <col customWidth="1" min="5" max="5" width="16.38"/>
  </cols>
  <sheetData>
    <row r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 hidden="1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 hidden="1">
      <c r="A3" s="1" t="s">
        <v>102</v>
      </c>
      <c r="B3" s="1">
        <v>5.0</v>
      </c>
      <c r="C3" s="39">
        <v>850.0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 hidden="1">
      <c r="A4" s="1" t="s">
        <v>104</v>
      </c>
      <c r="B4" s="1">
        <v>5.0</v>
      </c>
      <c r="C4" s="37">
        <v>0.0</v>
      </c>
      <c r="D4" s="1" t="s">
        <v>96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 hidden="1">
      <c r="A5" s="2" t="s">
        <v>106</v>
      </c>
      <c r="B5" s="2">
        <v>14.0</v>
      </c>
      <c r="C5" s="40">
        <v>117.03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 hidden="1">
      <c r="A6" s="1" t="s">
        <v>111</v>
      </c>
      <c r="B6" s="1">
        <v>11.0</v>
      </c>
      <c r="C6" s="37">
        <v>132.76</v>
      </c>
      <c r="D6" s="1" t="s">
        <v>112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 hidden="1">
      <c r="A7" s="1" t="s">
        <v>113</v>
      </c>
      <c r="B7" s="1">
        <v>25.0</v>
      </c>
      <c r="C7" s="37">
        <v>106.9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 hidden="1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 hidden="1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 hidden="1">
      <c r="A10" s="1" t="s">
        <v>121</v>
      </c>
      <c r="B10" s="1">
        <v>5.0</v>
      </c>
      <c r="C10" s="37">
        <v>0.0</v>
      </c>
      <c r="D10" s="1" t="s">
        <v>96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 hidden="1">
      <c r="A11" s="1" t="s">
        <v>122</v>
      </c>
      <c r="B11" s="1">
        <v>2.0</v>
      </c>
      <c r="C11" s="37">
        <v>24.9</v>
      </c>
      <c r="D11" s="1" t="s">
        <v>96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 hidden="1">
      <c r="A12" s="1" t="s">
        <v>123</v>
      </c>
      <c r="B12" s="1">
        <v>15.0</v>
      </c>
      <c r="C12" s="41">
        <v>0.0</v>
      </c>
      <c r="D12" s="1" t="s">
        <v>120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 hidden="1">
      <c r="A13" s="1" t="s">
        <v>124</v>
      </c>
      <c r="B13" s="1">
        <v>8.0</v>
      </c>
      <c r="C13" s="37">
        <v>44.9</v>
      </c>
      <c r="D13" s="1" t="s">
        <v>96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 hidden="1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 hidden="1">
      <c r="A15" s="1" t="s">
        <v>126</v>
      </c>
      <c r="B15" s="1">
        <v>27.0</v>
      </c>
      <c r="C15" s="37">
        <v>244.12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 hidden="1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  <c r="N16" s="42">
        <v>45992.0</v>
      </c>
    </row>
    <row r="17" hidden="1">
      <c r="A17" s="1" t="s">
        <v>130</v>
      </c>
      <c r="B17" s="1">
        <v>27.0</v>
      </c>
      <c r="C17" s="37">
        <f>89.9+139.9</f>
        <v>229.8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10.0</v>
      </c>
      <c r="C18" s="37">
        <v>20.0</v>
      </c>
      <c r="D18" s="1" t="s">
        <v>112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45</v>
      </c>
      <c r="B19" s="1">
        <v>8.0</v>
      </c>
      <c r="C19" s="1">
        <v>500.0</v>
      </c>
      <c r="D19" s="1" t="s">
        <v>96</v>
      </c>
      <c r="E19" s="1" t="s">
        <v>132</v>
      </c>
      <c r="G19" s="1" t="s">
        <v>98</v>
      </c>
      <c r="H19" s="1" t="s">
        <v>109</v>
      </c>
      <c r="J19" s="1" t="s">
        <v>45</v>
      </c>
      <c r="M19" s="38"/>
    </row>
    <row r="20">
      <c r="B20" s="1">
        <v>15.0</v>
      </c>
      <c r="C20" s="1">
        <v>0.0</v>
      </c>
      <c r="D20" s="1" t="s">
        <v>96</v>
      </c>
      <c r="E20" s="1" t="s">
        <v>132</v>
      </c>
      <c r="G20" s="1" t="s">
        <v>98</v>
      </c>
      <c r="H20" s="1" t="s">
        <v>109</v>
      </c>
      <c r="J20" s="1" t="s">
        <v>16</v>
      </c>
      <c r="M20" s="38"/>
    </row>
    <row r="21" hidden="1">
      <c r="B21" s="1">
        <v>6.0</v>
      </c>
      <c r="C21" s="1">
        <v>328.55</v>
      </c>
      <c r="D21" s="1" t="s">
        <v>112</v>
      </c>
      <c r="E21" s="1" t="s">
        <v>133</v>
      </c>
      <c r="G21" s="1" t="s">
        <v>98</v>
      </c>
      <c r="H21" s="1" t="s">
        <v>109</v>
      </c>
      <c r="J21" s="1" t="s">
        <v>48</v>
      </c>
      <c r="M21" s="38"/>
    </row>
    <row r="22" hidden="1">
      <c r="A22" s="1" t="s">
        <v>376</v>
      </c>
      <c r="B22" s="1">
        <v>17.0</v>
      </c>
      <c r="C22" s="1">
        <v>777.56</v>
      </c>
      <c r="D22" s="1" t="s">
        <v>112</v>
      </c>
      <c r="E22" s="1" t="s">
        <v>133</v>
      </c>
      <c r="G22" s="1" t="s">
        <v>98</v>
      </c>
      <c r="H22" s="1" t="s">
        <v>109</v>
      </c>
      <c r="J22" s="1" t="s">
        <v>46</v>
      </c>
      <c r="M22" s="38"/>
    </row>
    <row r="23">
      <c r="A23" s="1" t="s">
        <v>135</v>
      </c>
      <c r="B23" s="1">
        <v>10.0</v>
      </c>
      <c r="C23" s="1">
        <v>60.0</v>
      </c>
      <c r="D23" s="1" t="s">
        <v>112</v>
      </c>
      <c r="E23" s="1" t="s">
        <v>132</v>
      </c>
      <c r="G23" s="1" t="s">
        <v>98</v>
      </c>
      <c r="H23" s="1" t="s">
        <v>109</v>
      </c>
      <c r="J23" s="1" t="s">
        <v>34</v>
      </c>
      <c r="K23" s="42"/>
      <c r="M23" s="38"/>
    </row>
    <row r="24">
      <c r="A24" s="1" t="s">
        <v>377</v>
      </c>
      <c r="B24" s="1">
        <v>0.0</v>
      </c>
      <c r="C24" s="22">
        <v>28.89</v>
      </c>
      <c r="D24" s="1" t="s">
        <v>96</v>
      </c>
      <c r="E24" s="1" t="s">
        <v>132</v>
      </c>
      <c r="G24" s="1" t="s">
        <v>98</v>
      </c>
      <c r="H24" s="1" t="s">
        <v>109</v>
      </c>
      <c r="J24" s="1" t="s">
        <v>39</v>
      </c>
      <c r="M24" s="38"/>
      <c r="N24" s="42">
        <v>45324.0</v>
      </c>
    </row>
    <row r="25" hidden="1">
      <c r="A25" s="1" t="s">
        <v>378</v>
      </c>
      <c r="B25" s="1">
        <v>0.0</v>
      </c>
      <c r="C25" s="1">
        <v>4.0</v>
      </c>
      <c r="D25" s="1" t="s">
        <v>96</v>
      </c>
      <c r="E25" s="1" t="s">
        <v>133</v>
      </c>
      <c r="G25" s="1" t="s">
        <v>98</v>
      </c>
      <c r="H25" s="1" t="s">
        <v>109</v>
      </c>
      <c r="J25" s="1" t="s">
        <v>29</v>
      </c>
      <c r="M25" s="38"/>
    </row>
    <row r="26" hidden="1">
      <c r="A26" s="1" t="s">
        <v>379</v>
      </c>
      <c r="B26" s="1">
        <v>0.0</v>
      </c>
      <c r="C26" s="1">
        <v>20.0</v>
      </c>
      <c r="D26" s="1" t="s">
        <v>96</v>
      </c>
      <c r="E26" s="1" t="s">
        <v>133</v>
      </c>
      <c r="G26" s="1" t="s">
        <v>98</v>
      </c>
      <c r="J26" s="1" t="s">
        <v>28</v>
      </c>
      <c r="M26" s="38"/>
      <c r="N26" s="42">
        <v>45354.0</v>
      </c>
    </row>
    <row r="27" hidden="1">
      <c r="A27" s="1" t="s">
        <v>380</v>
      </c>
      <c r="B27" s="1">
        <v>0.0</v>
      </c>
      <c r="C27" s="1">
        <v>134.8</v>
      </c>
      <c r="D27" s="1" t="s">
        <v>96</v>
      </c>
      <c r="E27" s="1" t="s">
        <v>133</v>
      </c>
      <c r="G27" s="1" t="s">
        <v>98</v>
      </c>
      <c r="H27" s="1" t="s">
        <v>109</v>
      </c>
      <c r="J27" s="1" t="s">
        <v>34</v>
      </c>
      <c r="M27" s="38"/>
    </row>
    <row r="28" hidden="1">
      <c r="A28" s="1" t="s">
        <v>381</v>
      </c>
      <c r="B28" s="1">
        <v>0.0</v>
      </c>
      <c r="C28" s="1">
        <v>61.21</v>
      </c>
      <c r="D28" s="1" t="s">
        <v>96</v>
      </c>
      <c r="E28" s="1" t="s">
        <v>133</v>
      </c>
      <c r="G28" s="1" t="s">
        <v>98</v>
      </c>
      <c r="J28" s="1" t="s">
        <v>29</v>
      </c>
      <c r="M28" s="38"/>
    </row>
    <row r="29" hidden="1">
      <c r="A29" s="1" t="s">
        <v>382</v>
      </c>
      <c r="B29" s="1">
        <v>0.0</v>
      </c>
      <c r="C29" s="1">
        <v>68.28</v>
      </c>
      <c r="D29" s="1" t="s">
        <v>96</v>
      </c>
      <c r="E29" s="1" t="s">
        <v>133</v>
      </c>
      <c r="G29" s="1" t="s">
        <v>98</v>
      </c>
      <c r="J29" s="1" t="s">
        <v>29</v>
      </c>
      <c r="M29" s="38"/>
      <c r="N29" s="42">
        <v>45872.0</v>
      </c>
    </row>
    <row r="30" hidden="1">
      <c r="A30" s="1" t="s">
        <v>381</v>
      </c>
      <c r="B30" s="1">
        <v>0.0</v>
      </c>
      <c r="C30" s="1">
        <v>47.88</v>
      </c>
      <c r="D30" s="1" t="s">
        <v>96</v>
      </c>
      <c r="E30" s="1" t="s">
        <v>133</v>
      </c>
      <c r="G30" s="1" t="s">
        <v>98</v>
      </c>
      <c r="J30" s="1" t="s">
        <v>32</v>
      </c>
      <c r="M30" s="38"/>
      <c r="N30" s="42">
        <v>45993.0</v>
      </c>
    </row>
    <row r="31" hidden="1">
      <c r="A31" s="1" t="s">
        <v>154</v>
      </c>
      <c r="B31" s="1">
        <v>1.0</v>
      </c>
      <c r="C31" s="1">
        <v>4.0</v>
      </c>
      <c r="D31" s="1" t="s">
        <v>96</v>
      </c>
      <c r="E31" s="1" t="s">
        <v>133</v>
      </c>
      <c r="G31" s="1" t="s">
        <v>118</v>
      </c>
      <c r="H31" s="1" t="s">
        <v>109</v>
      </c>
      <c r="J31" s="1" t="s">
        <v>39</v>
      </c>
      <c r="M31" s="38"/>
    </row>
    <row r="32" hidden="1">
      <c r="A32" s="1" t="s">
        <v>265</v>
      </c>
      <c r="B32" s="1">
        <v>2.0</v>
      </c>
      <c r="C32" s="1">
        <v>85.0</v>
      </c>
      <c r="D32" s="1" t="s">
        <v>96</v>
      </c>
      <c r="E32" s="1" t="s">
        <v>133</v>
      </c>
      <c r="G32" s="1" t="s">
        <v>98</v>
      </c>
      <c r="J32" s="1" t="s">
        <v>25</v>
      </c>
      <c r="M32" s="38"/>
    </row>
    <row r="33" hidden="1">
      <c r="A33" s="1" t="s">
        <v>380</v>
      </c>
      <c r="B33" s="1">
        <v>3.0</v>
      </c>
      <c r="C33" s="1">
        <v>30.5</v>
      </c>
      <c r="D33" s="1" t="s">
        <v>96</v>
      </c>
      <c r="E33" s="1" t="s">
        <v>133</v>
      </c>
      <c r="G33" s="1" t="s">
        <v>98</v>
      </c>
      <c r="J33" s="1" t="s">
        <v>28</v>
      </c>
      <c r="M33" s="38"/>
    </row>
    <row r="34" hidden="1">
      <c r="A34" s="1" t="s">
        <v>383</v>
      </c>
      <c r="B34" s="1">
        <v>3.0</v>
      </c>
      <c r="C34" s="1">
        <v>50.0</v>
      </c>
      <c r="D34" s="1" t="s">
        <v>96</v>
      </c>
      <c r="E34" s="1" t="s">
        <v>133</v>
      </c>
      <c r="G34" s="1" t="s">
        <v>98</v>
      </c>
      <c r="J34" s="1" t="s">
        <v>32</v>
      </c>
      <c r="M34" s="38"/>
    </row>
    <row r="35" hidden="1">
      <c r="A35" s="1" t="s">
        <v>383</v>
      </c>
      <c r="B35" s="1">
        <v>3.0</v>
      </c>
      <c r="C35" s="1">
        <v>50.0</v>
      </c>
      <c r="D35" s="1" t="s">
        <v>96</v>
      </c>
      <c r="E35" s="1" t="s">
        <v>133</v>
      </c>
      <c r="G35" s="1" t="s">
        <v>98</v>
      </c>
      <c r="J35" s="1" t="s">
        <v>20</v>
      </c>
      <c r="M35" s="38"/>
    </row>
    <row r="36" hidden="1">
      <c r="A36" s="1" t="s">
        <v>384</v>
      </c>
      <c r="B36" s="1">
        <v>4.0</v>
      </c>
      <c r="C36" s="1">
        <v>14.0</v>
      </c>
      <c r="D36" s="1" t="s">
        <v>96</v>
      </c>
      <c r="E36" s="1" t="s">
        <v>133</v>
      </c>
      <c r="G36" s="1" t="s">
        <v>98</v>
      </c>
      <c r="J36" s="1" t="s">
        <v>35</v>
      </c>
      <c r="M36" s="38"/>
    </row>
    <row r="37" hidden="1">
      <c r="A37" s="1" t="s">
        <v>385</v>
      </c>
      <c r="B37" s="1">
        <v>4.0</v>
      </c>
      <c r="C37" s="1">
        <v>13.89</v>
      </c>
      <c r="D37" s="1" t="s">
        <v>96</v>
      </c>
      <c r="E37" s="1" t="s">
        <v>133</v>
      </c>
      <c r="G37" s="1" t="s">
        <v>98</v>
      </c>
      <c r="J37" s="1" t="s">
        <v>18</v>
      </c>
      <c r="M37" s="38"/>
    </row>
    <row r="38" hidden="1">
      <c r="A38" s="1" t="s">
        <v>154</v>
      </c>
      <c r="B38" s="1">
        <v>5.0</v>
      </c>
      <c r="C38" s="1">
        <v>4.0</v>
      </c>
      <c r="D38" s="1" t="s">
        <v>96</v>
      </c>
      <c r="E38" s="1" t="s">
        <v>133</v>
      </c>
      <c r="G38" s="1" t="s">
        <v>98</v>
      </c>
      <c r="J38" s="1" t="s">
        <v>39</v>
      </c>
      <c r="M38" s="36" t="s">
        <v>43</v>
      </c>
    </row>
    <row r="39" hidden="1">
      <c r="A39" s="1" t="s">
        <v>247</v>
      </c>
      <c r="B39" s="1">
        <v>5.0</v>
      </c>
      <c r="C39" s="1">
        <v>257.95</v>
      </c>
      <c r="D39" s="1" t="s">
        <v>96</v>
      </c>
      <c r="E39" s="1" t="s">
        <v>133</v>
      </c>
      <c r="G39" s="1" t="s">
        <v>98</v>
      </c>
      <c r="J39" s="1" t="s">
        <v>25</v>
      </c>
      <c r="M39" s="38"/>
    </row>
    <row r="40" hidden="1">
      <c r="A40" s="1" t="s">
        <v>249</v>
      </c>
      <c r="B40" s="1">
        <v>6.0</v>
      </c>
      <c r="C40" s="1">
        <v>36.47</v>
      </c>
      <c r="D40" s="1" t="s">
        <v>96</v>
      </c>
      <c r="E40" s="1" t="s">
        <v>133</v>
      </c>
      <c r="G40" s="1" t="s">
        <v>98</v>
      </c>
      <c r="J40" s="1" t="s">
        <v>29</v>
      </c>
      <c r="M40" s="38"/>
    </row>
    <row r="41" hidden="1">
      <c r="A41" s="1" t="s">
        <v>283</v>
      </c>
      <c r="B41" s="1">
        <v>6.0</v>
      </c>
      <c r="C41" s="1">
        <v>15.99</v>
      </c>
      <c r="D41" s="1" t="s">
        <v>96</v>
      </c>
      <c r="E41" s="1" t="s">
        <v>133</v>
      </c>
      <c r="G41" s="1" t="s">
        <v>98</v>
      </c>
      <c r="J41" s="1" t="s">
        <v>34</v>
      </c>
      <c r="M41" s="38"/>
    </row>
    <row r="42" hidden="1">
      <c r="A42" s="1" t="s">
        <v>283</v>
      </c>
      <c r="B42" s="1">
        <v>6.0</v>
      </c>
      <c r="C42" s="1">
        <v>42.19</v>
      </c>
      <c r="D42" s="1" t="s">
        <v>96</v>
      </c>
      <c r="E42" s="1" t="s">
        <v>133</v>
      </c>
      <c r="G42" s="1" t="s">
        <v>98</v>
      </c>
      <c r="J42" s="1" t="s">
        <v>31</v>
      </c>
      <c r="L42" s="42"/>
      <c r="M42" s="38"/>
    </row>
    <row r="43" hidden="1">
      <c r="A43" s="1" t="s">
        <v>386</v>
      </c>
      <c r="B43" s="1">
        <v>6.0</v>
      </c>
      <c r="C43" s="1">
        <v>71.96</v>
      </c>
      <c r="D43" s="1" t="s">
        <v>96</v>
      </c>
      <c r="E43" s="1" t="s">
        <v>133</v>
      </c>
      <c r="G43" s="1" t="s">
        <v>98</v>
      </c>
      <c r="J43" s="1" t="s">
        <v>24</v>
      </c>
      <c r="M43" s="38"/>
    </row>
    <row r="44" hidden="1">
      <c r="A44" s="1" t="s">
        <v>387</v>
      </c>
      <c r="B44" s="1">
        <v>7.0</v>
      </c>
      <c r="C44" s="1">
        <v>18.07</v>
      </c>
      <c r="D44" s="1" t="s">
        <v>96</v>
      </c>
      <c r="E44" s="1" t="s">
        <v>133</v>
      </c>
      <c r="G44" s="1" t="s">
        <v>98</v>
      </c>
      <c r="J44" s="1" t="s">
        <v>24</v>
      </c>
      <c r="M44" s="38"/>
    </row>
    <row r="45" hidden="1">
      <c r="A45" s="1" t="s">
        <v>381</v>
      </c>
      <c r="B45" s="1">
        <v>8.0</v>
      </c>
      <c r="C45" s="1">
        <v>50.0</v>
      </c>
      <c r="D45" s="1" t="s">
        <v>96</v>
      </c>
      <c r="E45" s="1" t="s">
        <v>133</v>
      </c>
      <c r="G45" s="1" t="s">
        <v>98</v>
      </c>
      <c r="J45" s="1" t="s">
        <v>39</v>
      </c>
      <c r="M45" s="38"/>
    </row>
    <row r="46" hidden="1">
      <c r="A46" s="1" t="s">
        <v>388</v>
      </c>
      <c r="B46" s="1">
        <v>9.0</v>
      </c>
      <c r="C46" s="1">
        <v>25.0</v>
      </c>
      <c r="D46" s="1" t="s">
        <v>96</v>
      </c>
      <c r="E46" s="1" t="s">
        <v>133</v>
      </c>
      <c r="G46" s="1" t="s">
        <v>98</v>
      </c>
      <c r="J46" s="1" t="s">
        <v>18</v>
      </c>
      <c r="M46" s="38"/>
    </row>
    <row r="47" hidden="1">
      <c r="A47" s="1" t="s">
        <v>389</v>
      </c>
      <c r="B47" s="1">
        <v>9.0</v>
      </c>
      <c r="C47" s="1">
        <v>45.9</v>
      </c>
      <c r="D47" s="1" t="s">
        <v>96</v>
      </c>
      <c r="E47" s="1" t="s">
        <v>133</v>
      </c>
      <c r="G47" s="1" t="s">
        <v>98</v>
      </c>
      <c r="J47" s="1" t="s">
        <v>25</v>
      </c>
      <c r="M47" s="38"/>
    </row>
    <row r="48" hidden="1">
      <c r="A48" s="1" t="s">
        <v>349</v>
      </c>
      <c r="B48" s="1">
        <v>9.0</v>
      </c>
      <c r="C48" s="1">
        <v>5.0</v>
      </c>
      <c r="D48" s="1" t="s">
        <v>96</v>
      </c>
      <c r="E48" s="1" t="s">
        <v>133</v>
      </c>
      <c r="G48" s="1" t="s">
        <v>98</v>
      </c>
      <c r="J48" s="1" t="s">
        <v>29</v>
      </c>
      <c r="M48" s="38"/>
    </row>
    <row r="49" hidden="1">
      <c r="A49" s="1" t="s">
        <v>390</v>
      </c>
      <c r="B49" s="1">
        <v>9.0</v>
      </c>
      <c r="C49" s="1">
        <v>19.99</v>
      </c>
      <c r="D49" s="1" t="s">
        <v>96</v>
      </c>
      <c r="E49" s="1" t="s">
        <v>133</v>
      </c>
      <c r="G49" s="1" t="s">
        <v>98</v>
      </c>
      <c r="J49" s="1" t="s">
        <v>29</v>
      </c>
      <c r="M49" s="38"/>
    </row>
    <row r="50" hidden="1">
      <c r="A50" s="1" t="s">
        <v>154</v>
      </c>
      <c r="B50" s="1">
        <v>10.0</v>
      </c>
      <c r="C50" s="1">
        <v>4.0</v>
      </c>
      <c r="D50" s="1" t="s">
        <v>96</v>
      </c>
      <c r="E50" s="1" t="s">
        <v>133</v>
      </c>
      <c r="G50" s="1" t="s">
        <v>98</v>
      </c>
      <c r="J50" s="1" t="s">
        <v>39</v>
      </c>
      <c r="M50" s="38"/>
    </row>
    <row r="51" hidden="1">
      <c r="A51" s="1" t="s">
        <v>265</v>
      </c>
      <c r="B51" s="1">
        <v>11.0</v>
      </c>
      <c r="C51" s="1">
        <v>35.0</v>
      </c>
      <c r="D51" s="1" t="s">
        <v>96</v>
      </c>
      <c r="E51" s="1" t="s">
        <v>133</v>
      </c>
      <c r="G51" s="1" t="s">
        <v>98</v>
      </c>
      <c r="J51" s="1" t="s">
        <v>29</v>
      </c>
      <c r="M51" s="38"/>
    </row>
    <row r="52" hidden="1">
      <c r="A52" s="1" t="s">
        <v>391</v>
      </c>
      <c r="B52" s="1">
        <v>11.0</v>
      </c>
      <c r="C52" s="1">
        <v>109.97</v>
      </c>
      <c r="D52" s="1" t="s">
        <v>96</v>
      </c>
      <c r="E52" s="1" t="s">
        <v>133</v>
      </c>
      <c r="G52" s="1" t="s">
        <v>98</v>
      </c>
      <c r="J52" s="1" t="s">
        <v>34</v>
      </c>
      <c r="M52" s="38"/>
    </row>
    <row r="53" hidden="1">
      <c r="A53" s="1" t="s">
        <v>392</v>
      </c>
      <c r="B53" s="1">
        <v>11.0</v>
      </c>
      <c r="C53" s="1">
        <v>27.49</v>
      </c>
      <c r="D53" s="1" t="s">
        <v>96</v>
      </c>
      <c r="E53" s="1" t="s">
        <v>133</v>
      </c>
      <c r="G53" s="1" t="s">
        <v>98</v>
      </c>
      <c r="J53" s="1" t="s">
        <v>24</v>
      </c>
      <c r="M53" s="38"/>
    </row>
    <row r="54" hidden="1">
      <c r="A54" s="1" t="s">
        <v>264</v>
      </c>
      <c r="B54" s="1">
        <v>11.0</v>
      </c>
      <c r="C54" s="1">
        <v>5.0</v>
      </c>
      <c r="D54" s="1" t="s">
        <v>96</v>
      </c>
      <c r="E54" s="1" t="s">
        <v>133</v>
      </c>
      <c r="G54" s="1" t="s">
        <v>98</v>
      </c>
      <c r="J54" s="1" t="s">
        <v>20</v>
      </c>
      <c r="M54" s="38"/>
    </row>
    <row r="55" hidden="1">
      <c r="A55" s="1" t="s">
        <v>308</v>
      </c>
      <c r="B55" s="1">
        <v>11.0</v>
      </c>
      <c r="C55" s="1">
        <v>46.9</v>
      </c>
      <c r="D55" s="1" t="s">
        <v>96</v>
      </c>
      <c r="E55" s="1" t="s">
        <v>133</v>
      </c>
      <c r="G55" s="1"/>
      <c r="J55" s="1" t="s">
        <v>34</v>
      </c>
      <c r="M55" s="38"/>
    </row>
    <row r="56" hidden="1">
      <c r="A56" s="1" t="s">
        <v>393</v>
      </c>
      <c r="B56" s="1">
        <v>11.0</v>
      </c>
      <c r="C56" s="1">
        <v>136.81</v>
      </c>
      <c r="D56" s="1" t="s">
        <v>96</v>
      </c>
      <c r="E56" s="1" t="s">
        <v>133</v>
      </c>
      <c r="G56" s="1"/>
      <c r="J56" s="1" t="s">
        <v>39</v>
      </c>
      <c r="M56" s="38"/>
    </row>
    <row r="57" hidden="1">
      <c r="A57" s="1" t="s">
        <v>381</v>
      </c>
      <c r="B57" s="1">
        <v>12.0</v>
      </c>
      <c r="C57" s="1">
        <v>57.02</v>
      </c>
      <c r="D57" s="1" t="s">
        <v>96</v>
      </c>
      <c r="E57" s="1" t="s">
        <v>133</v>
      </c>
      <c r="G57" s="1"/>
      <c r="J57" s="1" t="s">
        <v>18</v>
      </c>
      <c r="M57" s="38"/>
    </row>
    <row r="58" hidden="1">
      <c r="A58" s="1" t="s">
        <v>154</v>
      </c>
      <c r="B58" s="1">
        <v>12.0</v>
      </c>
      <c r="C58" s="1">
        <v>4.0</v>
      </c>
      <c r="D58" s="1" t="s">
        <v>96</v>
      </c>
      <c r="E58" s="1" t="s">
        <v>133</v>
      </c>
      <c r="G58" s="1"/>
      <c r="J58" s="1" t="s">
        <v>34</v>
      </c>
      <c r="M58" s="38"/>
    </row>
    <row r="59" hidden="1">
      <c r="A59" s="1" t="s">
        <v>247</v>
      </c>
      <c r="B59" s="1">
        <v>12.0</v>
      </c>
      <c r="C59" s="1">
        <v>276.57</v>
      </c>
      <c r="D59" s="1"/>
      <c r="E59" s="1" t="s">
        <v>133</v>
      </c>
      <c r="G59" s="1"/>
      <c r="J59" s="1" t="s">
        <v>39</v>
      </c>
      <c r="M59" s="38"/>
    </row>
    <row r="60" hidden="1">
      <c r="A60" s="1" t="s">
        <v>333</v>
      </c>
      <c r="B60" s="1">
        <v>13.0</v>
      </c>
      <c r="C60" s="1">
        <v>24.0</v>
      </c>
      <c r="D60" s="1" t="s">
        <v>96</v>
      </c>
      <c r="E60" s="1" t="s">
        <v>133</v>
      </c>
      <c r="G60" s="1"/>
      <c r="J60" s="1" t="s">
        <v>24</v>
      </c>
      <c r="M60" s="38"/>
    </row>
    <row r="61" hidden="1">
      <c r="A61" s="1" t="s">
        <v>391</v>
      </c>
      <c r="B61" s="1">
        <v>16.0</v>
      </c>
      <c r="C61" s="1">
        <v>99.99</v>
      </c>
      <c r="D61" s="1" t="s">
        <v>96</v>
      </c>
      <c r="E61" s="1" t="s">
        <v>133</v>
      </c>
      <c r="G61" s="1"/>
      <c r="J61" s="1" t="s">
        <v>31</v>
      </c>
      <c r="M61" s="38"/>
    </row>
    <row r="62" hidden="1">
      <c r="A62" s="1" t="s">
        <v>394</v>
      </c>
      <c r="B62" s="1">
        <v>16.0</v>
      </c>
      <c r="C62" s="1">
        <v>11.89</v>
      </c>
      <c r="D62" s="1" t="s">
        <v>96</v>
      </c>
      <c r="E62" s="1" t="s">
        <v>133</v>
      </c>
      <c r="G62" s="1"/>
      <c r="J62" s="1" t="s">
        <v>29</v>
      </c>
      <c r="M62" s="38"/>
    </row>
    <row r="63" hidden="1">
      <c r="A63" s="1" t="s">
        <v>264</v>
      </c>
      <c r="B63" s="1">
        <v>16.0</v>
      </c>
      <c r="C63" s="1">
        <v>7.0</v>
      </c>
      <c r="D63" s="1" t="s">
        <v>96</v>
      </c>
      <c r="E63" s="1" t="s">
        <v>133</v>
      </c>
      <c r="G63" s="1"/>
      <c r="J63" s="1" t="s">
        <v>18</v>
      </c>
      <c r="M63" s="38"/>
    </row>
    <row r="64" hidden="1">
      <c r="A64" s="1" t="s">
        <v>308</v>
      </c>
      <c r="B64" s="1">
        <v>16.0</v>
      </c>
      <c r="C64" s="1">
        <v>77.8</v>
      </c>
      <c r="D64" s="1" t="s">
        <v>96</v>
      </c>
      <c r="E64" s="1" t="s">
        <v>133</v>
      </c>
      <c r="G64" s="1"/>
      <c r="J64" s="1" t="s">
        <v>29</v>
      </c>
      <c r="M64" s="38"/>
    </row>
    <row r="65" hidden="1">
      <c r="A65" s="1" t="s">
        <v>381</v>
      </c>
      <c r="B65" s="1">
        <v>17.0</v>
      </c>
      <c r="C65" s="1">
        <v>61.57</v>
      </c>
      <c r="D65" s="1" t="s">
        <v>96</v>
      </c>
      <c r="E65" s="1" t="s">
        <v>133</v>
      </c>
      <c r="G65" s="1"/>
      <c r="J65" s="1" t="s">
        <v>34</v>
      </c>
      <c r="L65" s="42"/>
      <c r="M65" s="38"/>
    </row>
    <row r="66" hidden="1">
      <c r="A66" s="1" t="s">
        <v>154</v>
      </c>
      <c r="B66" s="1">
        <v>17.0</v>
      </c>
      <c r="C66" s="1">
        <v>11.5</v>
      </c>
      <c r="D66" s="1" t="s">
        <v>96</v>
      </c>
      <c r="E66" s="1" t="s">
        <v>133</v>
      </c>
      <c r="G66" s="1"/>
      <c r="J66" s="1" t="s">
        <v>39</v>
      </c>
      <c r="M66" s="38"/>
    </row>
    <row r="67" hidden="1">
      <c r="A67" s="1" t="s">
        <v>265</v>
      </c>
      <c r="B67" s="1">
        <v>17.0</v>
      </c>
      <c r="C67" s="1">
        <v>78.0</v>
      </c>
      <c r="D67" s="1" t="s">
        <v>96</v>
      </c>
      <c r="E67" s="1" t="s">
        <v>133</v>
      </c>
      <c r="J67" s="1" t="s">
        <v>29</v>
      </c>
      <c r="M67" s="38"/>
    </row>
    <row r="68" hidden="1">
      <c r="A68" s="1" t="s">
        <v>395</v>
      </c>
      <c r="B68" s="1">
        <v>17.0</v>
      </c>
      <c r="C68" s="1">
        <v>50.0</v>
      </c>
      <c r="D68" s="1" t="s">
        <v>96</v>
      </c>
      <c r="E68" s="1" t="s">
        <v>133</v>
      </c>
      <c r="J68" s="1" t="s">
        <v>24</v>
      </c>
      <c r="M68" s="38"/>
    </row>
    <row r="69">
      <c r="A69" s="1" t="s">
        <v>396</v>
      </c>
      <c r="B69" s="1">
        <v>18.0</v>
      </c>
      <c r="C69" s="1">
        <v>100.99</v>
      </c>
      <c r="D69" s="1" t="s">
        <v>96</v>
      </c>
      <c r="E69" s="1" t="s">
        <v>156</v>
      </c>
      <c r="J69" s="1" t="s">
        <v>49</v>
      </c>
      <c r="M69" s="38"/>
    </row>
    <row r="70" hidden="1">
      <c r="A70" s="1" t="s">
        <v>250</v>
      </c>
      <c r="B70" s="1">
        <v>42.19</v>
      </c>
      <c r="C70" s="1">
        <v>51.0</v>
      </c>
      <c r="D70" s="1" t="s">
        <v>96</v>
      </c>
      <c r="E70" s="1" t="s">
        <v>117</v>
      </c>
      <c r="J70" s="1" t="s">
        <v>28</v>
      </c>
      <c r="M70" s="38"/>
    </row>
    <row r="71" hidden="1">
      <c r="A71" s="1" t="s">
        <v>247</v>
      </c>
      <c r="B71" s="1">
        <v>18.0</v>
      </c>
      <c r="C71" s="1">
        <v>181.03</v>
      </c>
      <c r="D71" s="1" t="s">
        <v>96</v>
      </c>
      <c r="E71" s="1" t="s">
        <v>117</v>
      </c>
      <c r="J71" s="1" t="s">
        <v>44</v>
      </c>
      <c r="M71" s="38"/>
    </row>
    <row r="72" hidden="1">
      <c r="A72" s="1" t="s">
        <v>271</v>
      </c>
      <c r="B72" s="1">
        <v>18.0</v>
      </c>
      <c r="C72" s="1">
        <v>148.85</v>
      </c>
      <c r="D72" s="1" t="s">
        <v>96</v>
      </c>
      <c r="E72" s="1" t="s">
        <v>133</v>
      </c>
      <c r="J72" s="1" t="s">
        <v>28</v>
      </c>
      <c r="K72" s="42"/>
      <c r="M72" s="38"/>
    </row>
    <row r="73" hidden="1">
      <c r="A73" s="1" t="s">
        <v>357</v>
      </c>
      <c r="B73" s="1">
        <v>18.0</v>
      </c>
      <c r="C73" s="1">
        <v>103.9</v>
      </c>
      <c r="D73" s="1" t="s">
        <v>96</v>
      </c>
      <c r="E73" s="1" t="s">
        <v>133</v>
      </c>
      <c r="J73" s="1" t="s">
        <v>35</v>
      </c>
      <c r="M73" s="38"/>
    </row>
    <row r="74" hidden="1">
      <c r="A74" s="1" t="s">
        <v>233</v>
      </c>
      <c r="B74" s="1">
        <v>19.0</v>
      </c>
      <c r="C74" s="1">
        <v>37.8</v>
      </c>
      <c r="D74" s="1" t="s">
        <v>96</v>
      </c>
      <c r="E74" s="1" t="s">
        <v>133</v>
      </c>
      <c r="J74" s="1" t="s">
        <v>15</v>
      </c>
      <c r="M74" s="38"/>
    </row>
    <row r="75" hidden="1">
      <c r="A75" s="1" t="s">
        <v>283</v>
      </c>
      <c r="B75" s="1">
        <v>20.0</v>
      </c>
      <c r="C75" s="1">
        <v>35.88</v>
      </c>
      <c r="D75" s="1" t="s">
        <v>96</v>
      </c>
      <c r="E75" s="1" t="s">
        <v>133</v>
      </c>
      <c r="J75" s="1" t="s">
        <v>34</v>
      </c>
      <c r="M75" s="38"/>
    </row>
    <row r="76" hidden="1">
      <c r="A76" s="1" t="s">
        <v>154</v>
      </c>
      <c r="B76" s="1">
        <v>22.0</v>
      </c>
      <c r="C76" s="1">
        <v>9.0</v>
      </c>
      <c r="D76" s="1" t="s">
        <v>96</v>
      </c>
      <c r="E76" s="1" t="s">
        <v>133</v>
      </c>
      <c r="J76" s="1" t="s">
        <v>28</v>
      </c>
      <c r="M76" s="38"/>
    </row>
    <row r="77">
      <c r="A77" s="1" t="s">
        <v>381</v>
      </c>
      <c r="B77" s="1">
        <v>22.0</v>
      </c>
      <c r="C77" s="1">
        <v>50.75</v>
      </c>
      <c r="D77" s="1" t="s">
        <v>96</v>
      </c>
      <c r="E77" s="1" t="s">
        <v>156</v>
      </c>
      <c r="J77" s="1" t="s">
        <v>31</v>
      </c>
      <c r="M77" s="38"/>
    </row>
    <row r="78" hidden="1">
      <c r="A78" s="1" t="s">
        <v>261</v>
      </c>
      <c r="B78" s="1">
        <v>22.0</v>
      </c>
      <c r="C78" s="1">
        <v>102.16</v>
      </c>
      <c r="D78" s="1" t="s">
        <v>96</v>
      </c>
      <c r="E78" s="1" t="s">
        <v>133</v>
      </c>
      <c r="J78" s="1" t="s">
        <v>39</v>
      </c>
      <c r="M78" s="38"/>
    </row>
    <row r="79" hidden="1">
      <c r="A79" s="1" t="s">
        <v>397</v>
      </c>
      <c r="B79" s="1">
        <v>23.0</v>
      </c>
      <c r="C79" s="1">
        <v>101.4</v>
      </c>
      <c r="D79" s="1" t="s">
        <v>96</v>
      </c>
      <c r="E79" s="1" t="s">
        <v>133</v>
      </c>
      <c r="J79" s="1" t="s">
        <v>18</v>
      </c>
      <c r="M79" s="38"/>
    </row>
    <row r="80" hidden="1">
      <c r="A80" s="1" t="s">
        <v>154</v>
      </c>
      <c r="B80" s="1">
        <v>24.0</v>
      </c>
      <c r="C80" s="1">
        <v>4.0</v>
      </c>
      <c r="D80" s="1" t="s">
        <v>96</v>
      </c>
      <c r="E80" s="1" t="s">
        <v>133</v>
      </c>
      <c r="J80" s="1" t="s">
        <v>39</v>
      </c>
      <c r="M80" s="38"/>
    </row>
    <row r="81" hidden="1">
      <c r="A81" s="1" t="s">
        <v>398</v>
      </c>
      <c r="B81" s="1">
        <v>24.0</v>
      </c>
      <c r="C81" s="1">
        <v>270.0</v>
      </c>
      <c r="D81" s="1" t="s">
        <v>96</v>
      </c>
      <c r="E81" s="1" t="s">
        <v>133</v>
      </c>
      <c r="J81" s="1" t="s">
        <v>31</v>
      </c>
      <c r="M81" s="38"/>
    </row>
    <row r="82" hidden="1">
      <c r="A82" s="1" t="s">
        <v>301</v>
      </c>
      <c r="B82" s="1">
        <v>25.0</v>
      </c>
      <c r="C82" s="1">
        <v>45.9</v>
      </c>
      <c r="D82" s="1" t="s">
        <v>96</v>
      </c>
      <c r="E82" s="1" t="s">
        <v>133</v>
      </c>
      <c r="J82" s="1" t="s">
        <v>39</v>
      </c>
      <c r="M82" s="38"/>
    </row>
    <row r="83" hidden="1">
      <c r="A83" s="1" t="s">
        <v>154</v>
      </c>
      <c r="B83" s="1">
        <v>25.0</v>
      </c>
      <c r="C83" s="1">
        <v>4.0</v>
      </c>
      <c r="D83" s="1" t="s">
        <v>96</v>
      </c>
      <c r="E83" s="1" t="s">
        <v>133</v>
      </c>
      <c r="J83" s="1" t="s">
        <v>34</v>
      </c>
      <c r="M83" s="38"/>
    </row>
    <row r="84" hidden="1">
      <c r="A84" s="1" t="s">
        <v>393</v>
      </c>
      <c r="B84" s="1">
        <v>25.0</v>
      </c>
      <c r="C84" s="1">
        <v>10.91</v>
      </c>
      <c r="D84" s="1" t="s">
        <v>96</v>
      </c>
      <c r="E84" s="1" t="s">
        <v>133</v>
      </c>
      <c r="J84" s="1" t="s">
        <v>40</v>
      </c>
      <c r="M84" s="38"/>
    </row>
    <row r="85" hidden="1">
      <c r="A85" s="1" t="s">
        <v>165</v>
      </c>
      <c r="B85" s="1">
        <v>25.0</v>
      </c>
      <c r="C85" s="1">
        <v>274.98</v>
      </c>
      <c r="D85" s="1" t="s">
        <v>96</v>
      </c>
      <c r="E85" s="1" t="s">
        <v>133</v>
      </c>
      <c r="J85" s="1" t="s">
        <v>29</v>
      </c>
      <c r="M85" s="38"/>
    </row>
    <row r="86" hidden="1">
      <c r="A86" s="1" t="s">
        <v>399</v>
      </c>
      <c r="B86" s="1">
        <v>25.0</v>
      </c>
      <c r="C86" s="1">
        <v>26.75</v>
      </c>
      <c r="D86" s="1" t="s">
        <v>96</v>
      </c>
      <c r="E86" s="1" t="s">
        <v>133</v>
      </c>
      <c r="J86" s="1" t="s">
        <v>31</v>
      </c>
      <c r="M86" s="38"/>
    </row>
    <row r="87" hidden="1">
      <c r="A87" s="1" t="s">
        <v>381</v>
      </c>
      <c r="B87" s="1">
        <v>26.0</v>
      </c>
      <c r="C87" s="1">
        <v>55.2</v>
      </c>
      <c r="D87" s="1" t="s">
        <v>96</v>
      </c>
      <c r="E87" s="1" t="s">
        <v>133</v>
      </c>
      <c r="J87" s="1" t="s">
        <v>39</v>
      </c>
      <c r="M87" s="38"/>
    </row>
    <row r="88" hidden="1">
      <c r="A88" s="1" t="s">
        <v>271</v>
      </c>
      <c r="B88" s="1">
        <v>26.0</v>
      </c>
      <c r="C88" s="1">
        <v>74.37</v>
      </c>
      <c r="D88" s="1" t="s">
        <v>96</v>
      </c>
      <c r="E88" s="1" t="s">
        <v>133</v>
      </c>
      <c r="J88" s="1" t="s">
        <v>28</v>
      </c>
      <c r="M88" s="38"/>
    </row>
    <row r="89">
      <c r="A89" s="1" t="s">
        <v>264</v>
      </c>
      <c r="B89" s="1">
        <v>1.0</v>
      </c>
      <c r="C89" s="1">
        <v>5.0</v>
      </c>
      <c r="D89" s="1" t="s">
        <v>96</v>
      </c>
      <c r="E89" s="1" t="s">
        <v>156</v>
      </c>
      <c r="J89" s="1" t="s">
        <v>24</v>
      </c>
      <c r="M89" s="38"/>
    </row>
    <row r="90">
      <c r="A90" s="1" t="s">
        <v>400</v>
      </c>
      <c r="B90" s="1">
        <v>2.0</v>
      </c>
      <c r="C90" s="1">
        <v>20.0</v>
      </c>
      <c r="D90" s="1" t="s">
        <v>96</v>
      </c>
      <c r="E90" s="1" t="s">
        <v>156</v>
      </c>
      <c r="J90" s="1" t="s">
        <v>39</v>
      </c>
      <c r="M90" s="38"/>
    </row>
    <row r="91">
      <c r="A91" s="1" t="s">
        <v>264</v>
      </c>
      <c r="B91" s="1">
        <v>6.0</v>
      </c>
      <c r="C91" s="1">
        <v>9.0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360</v>
      </c>
      <c r="B92" s="1">
        <v>8.0</v>
      </c>
      <c r="C92" s="1">
        <v>30.0</v>
      </c>
      <c r="D92" s="1" t="s">
        <v>96</v>
      </c>
      <c r="E92" s="1" t="s">
        <v>156</v>
      </c>
      <c r="J92" s="1" t="s">
        <v>44</v>
      </c>
      <c r="M92" s="38"/>
    </row>
    <row r="93">
      <c r="A93" s="1" t="s">
        <v>401</v>
      </c>
      <c r="B93" s="1">
        <v>10.0</v>
      </c>
      <c r="C93" s="1">
        <v>132.58</v>
      </c>
      <c r="D93" s="1" t="s">
        <v>96</v>
      </c>
      <c r="E93" s="1" t="s">
        <v>156</v>
      </c>
      <c r="J93" s="1" t="s">
        <v>18</v>
      </c>
      <c r="M93" s="38"/>
    </row>
    <row r="94">
      <c r="A94" s="1" t="s">
        <v>257</v>
      </c>
      <c r="B94" s="1">
        <v>21.0</v>
      </c>
      <c r="C94" s="1">
        <v>58.73</v>
      </c>
      <c r="D94" s="1" t="s">
        <v>96</v>
      </c>
      <c r="E94" s="1" t="s">
        <v>156</v>
      </c>
      <c r="J94" s="1" t="s">
        <v>20</v>
      </c>
      <c r="M94" s="38"/>
    </row>
    <row r="95">
      <c r="A95" s="1" t="s">
        <v>257</v>
      </c>
      <c r="B95" s="1">
        <v>21.0</v>
      </c>
      <c r="C95" s="1">
        <v>46.9</v>
      </c>
      <c r="D95" s="1" t="s">
        <v>96</v>
      </c>
      <c r="E95" s="1" t="s">
        <v>156</v>
      </c>
      <c r="J95" s="1" t="s">
        <v>32</v>
      </c>
      <c r="M95" s="38"/>
    </row>
    <row r="96">
      <c r="A96" s="1" t="s">
        <v>387</v>
      </c>
      <c r="B96" s="1">
        <v>27.0</v>
      </c>
      <c r="C96" s="1">
        <v>3.35</v>
      </c>
      <c r="D96" s="1" t="s">
        <v>96</v>
      </c>
      <c r="E96" s="1" t="s">
        <v>156</v>
      </c>
      <c r="J96" s="1" t="s">
        <v>32</v>
      </c>
      <c r="M96" s="38"/>
    </row>
    <row r="97">
      <c r="A97" s="1" t="s">
        <v>402</v>
      </c>
      <c r="B97" s="1">
        <v>27.0</v>
      </c>
      <c r="C97" s="1">
        <v>82.41</v>
      </c>
      <c r="D97" s="1" t="s">
        <v>96</v>
      </c>
      <c r="E97" s="1" t="s">
        <v>156</v>
      </c>
      <c r="J97" s="1" t="s">
        <v>31</v>
      </c>
      <c r="M97" s="38"/>
    </row>
    <row r="98">
      <c r="A98" s="1" t="s">
        <v>402</v>
      </c>
      <c r="B98" s="1">
        <v>27.0</v>
      </c>
      <c r="C98" s="1">
        <v>156.25</v>
      </c>
      <c r="D98" s="1" t="s">
        <v>96</v>
      </c>
      <c r="E98" s="1" t="s">
        <v>156</v>
      </c>
      <c r="J98" s="1" t="s">
        <v>15</v>
      </c>
      <c r="M98" s="38"/>
    </row>
    <row r="99">
      <c r="A99" s="1" t="s">
        <v>403</v>
      </c>
      <c r="B99" s="1">
        <v>27.0</v>
      </c>
      <c r="C99" s="1">
        <v>1057.63</v>
      </c>
      <c r="D99" s="1" t="s">
        <v>96</v>
      </c>
      <c r="E99" s="1" t="s">
        <v>156</v>
      </c>
      <c r="J99" s="1" t="s">
        <v>34</v>
      </c>
      <c r="M99" s="38"/>
    </row>
    <row r="100">
      <c r="A100" s="1" t="s">
        <v>380</v>
      </c>
      <c r="B100" s="1">
        <v>28.0</v>
      </c>
      <c r="C100" s="1">
        <v>9.0</v>
      </c>
      <c r="D100" s="1" t="s">
        <v>96</v>
      </c>
      <c r="E100" s="1" t="s">
        <v>156</v>
      </c>
      <c r="J100" s="1" t="s">
        <v>31</v>
      </c>
      <c r="M100" s="38"/>
    </row>
    <row r="101">
      <c r="A101" s="1" t="s">
        <v>404</v>
      </c>
      <c r="B101" s="1">
        <v>30.0</v>
      </c>
      <c r="C101" s="1">
        <v>5.0</v>
      </c>
      <c r="D101" s="1" t="s">
        <v>96</v>
      </c>
      <c r="E101" s="1" t="s">
        <v>156</v>
      </c>
      <c r="J101" s="1" t="s">
        <v>34</v>
      </c>
      <c r="M101" s="38"/>
    </row>
    <row r="102">
      <c r="A102" s="1" t="s">
        <v>257</v>
      </c>
      <c r="B102" s="1">
        <v>2.0</v>
      </c>
      <c r="C102" s="1">
        <v>106.62</v>
      </c>
      <c r="D102" s="1" t="s">
        <v>96</v>
      </c>
      <c r="E102" s="1" t="s">
        <v>156</v>
      </c>
      <c r="J102" s="1" t="s">
        <v>39</v>
      </c>
      <c r="M102" s="38"/>
    </row>
    <row r="103">
      <c r="A103" s="1" t="s">
        <v>405</v>
      </c>
      <c r="B103" s="1">
        <v>3.0</v>
      </c>
      <c r="C103" s="1">
        <v>16.14</v>
      </c>
      <c r="D103" s="1" t="s">
        <v>96</v>
      </c>
      <c r="E103" s="1" t="s">
        <v>156</v>
      </c>
      <c r="J103" s="1" t="s">
        <v>28</v>
      </c>
      <c r="M103" s="38"/>
    </row>
    <row r="104">
      <c r="A104" s="1" t="s">
        <v>308</v>
      </c>
      <c r="B104" s="1">
        <v>3.0</v>
      </c>
      <c r="C104" s="1">
        <v>79.8</v>
      </c>
      <c r="D104" s="1" t="s">
        <v>96</v>
      </c>
      <c r="E104" s="1" t="s">
        <v>156</v>
      </c>
      <c r="J104" s="1" t="s">
        <v>28</v>
      </c>
      <c r="M104" s="38"/>
    </row>
    <row r="105">
      <c r="A105" s="1" t="s">
        <v>257</v>
      </c>
      <c r="B105" s="1">
        <v>5.0</v>
      </c>
      <c r="C105" s="1">
        <v>22.49</v>
      </c>
      <c r="D105" s="1" t="s">
        <v>96</v>
      </c>
      <c r="E105" s="1" t="s">
        <v>156</v>
      </c>
      <c r="J105" s="1" t="s">
        <v>29</v>
      </c>
      <c r="M105" s="38"/>
    </row>
    <row r="106">
      <c r="A106" s="1" t="s">
        <v>115</v>
      </c>
      <c r="B106" s="1">
        <v>6.0</v>
      </c>
      <c r="C106" s="1">
        <v>2000.0</v>
      </c>
      <c r="D106" s="1" t="s">
        <v>96</v>
      </c>
      <c r="E106" s="1" t="s">
        <v>156</v>
      </c>
      <c r="J106" s="1" t="s">
        <v>32</v>
      </c>
      <c r="M106" s="38"/>
    </row>
    <row r="107">
      <c r="A107" s="1" t="s">
        <v>257</v>
      </c>
      <c r="B107" s="1">
        <v>6.0</v>
      </c>
      <c r="C107" s="1">
        <v>29.89</v>
      </c>
      <c r="D107" s="1" t="s">
        <v>96</v>
      </c>
      <c r="E107" s="1" t="s">
        <v>156</v>
      </c>
      <c r="J107" s="1" t="s">
        <v>39</v>
      </c>
      <c r="M107" s="38"/>
    </row>
    <row r="108">
      <c r="A108" s="1" t="s">
        <v>47</v>
      </c>
      <c r="B108" s="1">
        <v>6.0</v>
      </c>
      <c r="C108" s="1">
        <v>2140.0</v>
      </c>
      <c r="D108" s="1" t="s">
        <v>96</v>
      </c>
      <c r="E108" s="1" t="s">
        <v>156</v>
      </c>
      <c r="J108" s="1" t="s">
        <v>42</v>
      </c>
      <c r="M108" s="38"/>
    </row>
    <row r="109">
      <c r="A109" s="1" t="s">
        <v>47</v>
      </c>
      <c r="B109" s="1">
        <v>6.0</v>
      </c>
      <c r="C109" s="1">
        <v>2000.0</v>
      </c>
      <c r="D109" s="1" t="s">
        <v>96</v>
      </c>
      <c r="E109" s="1" t="s">
        <v>156</v>
      </c>
      <c r="J109" s="1" t="s">
        <v>45</v>
      </c>
      <c r="M109" s="38"/>
    </row>
    <row r="110">
      <c r="A110" s="1" t="s">
        <v>406</v>
      </c>
      <c r="B110" s="1">
        <v>11.0</v>
      </c>
      <c r="C110" s="1">
        <v>10.0</v>
      </c>
      <c r="D110" s="1" t="s">
        <v>96</v>
      </c>
      <c r="E110" s="1" t="s">
        <v>156</v>
      </c>
      <c r="J110" s="1" t="s">
        <v>45</v>
      </c>
      <c r="M110" s="38"/>
    </row>
    <row r="111">
      <c r="A111" s="1" t="s">
        <v>407</v>
      </c>
      <c r="B111" s="1">
        <v>13.0</v>
      </c>
      <c r="C111" s="1">
        <v>39.65</v>
      </c>
      <c r="D111" s="1" t="s">
        <v>96</v>
      </c>
      <c r="E111" s="1" t="s">
        <v>156</v>
      </c>
      <c r="J111" s="1" t="s">
        <v>29</v>
      </c>
      <c r="M111" s="38"/>
    </row>
    <row r="112">
      <c r="A112" s="1" t="s">
        <v>408</v>
      </c>
      <c r="B112" s="1">
        <v>14.0</v>
      </c>
      <c r="C112" s="1">
        <v>132.0</v>
      </c>
      <c r="D112" s="1" t="s">
        <v>96</v>
      </c>
      <c r="E112" s="1" t="s">
        <v>156</v>
      </c>
      <c r="J112" s="1" t="s">
        <v>15</v>
      </c>
      <c r="M112" s="38"/>
    </row>
    <row r="113">
      <c r="A113" s="1" t="s">
        <v>409</v>
      </c>
      <c r="B113" s="1">
        <v>15.0</v>
      </c>
      <c r="C113" s="1">
        <v>10.0</v>
      </c>
      <c r="D113" s="1" t="s">
        <v>96</v>
      </c>
      <c r="E113" s="1" t="s">
        <v>156</v>
      </c>
      <c r="J113" s="1" t="s">
        <v>32</v>
      </c>
      <c r="M113" s="38"/>
    </row>
    <row r="114">
      <c r="A114" s="1" t="s">
        <v>410</v>
      </c>
      <c r="B114" s="1">
        <v>16.0</v>
      </c>
      <c r="C114" s="1">
        <v>10.0</v>
      </c>
      <c r="D114" s="1" t="s">
        <v>96</v>
      </c>
      <c r="E114" s="1" t="s">
        <v>156</v>
      </c>
      <c r="J114" s="1" t="s">
        <v>20</v>
      </c>
      <c r="M114" s="38"/>
    </row>
    <row r="115">
      <c r="A115" s="1" t="s">
        <v>411</v>
      </c>
      <c r="B115" s="1">
        <v>20.0</v>
      </c>
      <c r="C115" s="1">
        <v>5.0</v>
      </c>
      <c r="D115" s="1" t="s">
        <v>96</v>
      </c>
      <c r="E115" s="1" t="s">
        <v>156</v>
      </c>
      <c r="J115" s="1" t="s">
        <v>45</v>
      </c>
      <c r="M115" s="38"/>
    </row>
    <row r="116">
      <c r="B116" s="1">
        <v>27.0</v>
      </c>
      <c r="C116" s="1">
        <v>0.0</v>
      </c>
      <c r="D116" s="1" t="s">
        <v>96</v>
      </c>
      <c r="E116" s="1" t="s">
        <v>156</v>
      </c>
      <c r="J116" s="1" t="s">
        <v>45</v>
      </c>
      <c r="M116" s="38"/>
    </row>
    <row r="117">
      <c r="B117" s="1">
        <v>29.0</v>
      </c>
      <c r="C117" s="1">
        <v>0.0</v>
      </c>
      <c r="D117" s="1" t="s">
        <v>96</v>
      </c>
      <c r="E117" s="1" t="s">
        <v>156</v>
      </c>
      <c r="J117" s="1" t="s">
        <v>20</v>
      </c>
      <c r="M117" s="38"/>
    </row>
    <row r="118" hidden="1">
      <c r="B118" s="1">
        <v>28.0</v>
      </c>
      <c r="C118" s="1">
        <v>0.0</v>
      </c>
      <c r="D118" s="1"/>
      <c r="E118" s="1" t="s">
        <v>117</v>
      </c>
      <c r="J118" s="1"/>
      <c r="M118" s="38"/>
    </row>
    <row r="119">
      <c r="A119" s="1"/>
      <c r="B119" s="1"/>
      <c r="C119" s="1"/>
      <c r="J119" s="14"/>
      <c r="M119" s="38"/>
    </row>
    <row r="120">
      <c r="A120" s="1" t="s">
        <v>236</v>
      </c>
      <c r="C120" s="1">
        <f>('Resumo 2023'!C68)*0.3-(250)</f>
        <v>2899.115</v>
      </c>
      <c r="M120" s="38"/>
    </row>
    <row r="121">
      <c r="A121" s="1" t="s">
        <v>50</v>
      </c>
      <c r="C121" s="8">
        <f>SUM(C2:C118)</f>
        <v>16481.26</v>
      </c>
      <c r="D121" s="8">
        <f>('Resumo 2023'!AA68)-C121-C120</f>
        <v>-8883.325</v>
      </c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E132" s="43" t="s">
        <v>239</v>
      </c>
      <c r="F132" s="44">
        <f>SUMIF(D2:D118,"pg",C2:C118)</f>
        <v>14391.95</v>
      </c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6" t="s">
        <v>240</v>
      </c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  <row r="1038">
      <c r="M1038" s="38"/>
    </row>
    <row r="1039">
      <c r="M1039" s="38"/>
    </row>
    <row r="1040">
      <c r="M1040" s="38"/>
    </row>
    <row r="1041">
      <c r="M1041" s="38"/>
    </row>
    <row r="1042">
      <c r="M1042" s="38"/>
    </row>
    <row r="1043">
      <c r="M1043" s="38"/>
    </row>
    <row r="1044">
      <c r="M1044" s="38"/>
    </row>
    <row r="1045">
      <c r="M1045" s="38"/>
    </row>
    <row r="1046">
      <c r="M1046" s="38"/>
    </row>
    <row r="1047">
      <c r="M1047" s="38"/>
    </row>
    <row r="1048">
      <c r="M1048" s="38"/>
    </row>
  </sheetData>
  <autoFilter ref="$A$1:$BV$118">
    <filterColumn colId="4">
      <filters>
        <filter val="bradesco cartoes"/>
        <filter val="Pix"/>
        <filter val="pix"/>
      </filters>
    </filterColumn>
  </autoFilter>
  <conditionalFormatting sqref="B171">
    <cfRule type="cellIs" dxfId="1" priority="1" operator="greaterThanOrEqual">
      <formula>0</formula>
    </cfRule>
  </conditionalFormatting>
  <conditionalFormatting sqref="B171">
    <cfRule type="cellIs" dxfId="2" priority="2" operator="lessThan">
      <formula>0</formula>
    </cfRule>
  </conditionalFormatting>
  <dataValidations>
    <dataValidation type="list" allowBlank="1" showErrorMessage="1" sqref="J2:J119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veicular,ferias,projetos,dentista,pix aline,painel solar,reforma casa,boleto"</formula1>
    </dataValidation>
  </dataValidation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14.63"/>
    <col customWidth="1" min="5" max="5" width="16.38"/>
    <col customWidth="1" min="8" max="8" width="14.63"/>
    <col customWidth="1" min="12" max="12" width="16.88"/>
  </cols>
  <sheetData>
    <row r="1">
      <c r="A1" s="1" t="s">
        <v>412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850.0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104</v>
      </c>
      <c r="B4" s="1">
        <v>5.0</v>
      </c>
      <c r="C4" s="37">
        <v>140.0</v>
      </c>
      <c r="D4" s="1" t="s">
        <v>96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>
      <c r="A5" s="2" t="s">
        <v>106</v>
      </c>
      <c r="B5" s="2">
        <v>14.0</v>
      </c>
      <c r="C5" s="40">
        <v>60.0</v>
      </c>
      <c r="D5" s="2" t="s">
        <v>112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132.76</v>
      </c>
      <c r="D6" s="1" t="s">
        <v>112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113</v>
      </c>
      <c r="B7" s="1">
        <v>25.0</v>
      </c>
      <c r="C7" s="37">
        <v>99.9</v>
      </c>
      <c r="D7" s="1" t="s">
        <v>112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5.0</v>
      </c>
      <c r="C10" s="37">
        <v>0.0</v>
      </c>
      <c r="D10" s="1" t="s">
        <v>96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24.9</v>
      </c>
      <c r="D11" s="1" t="s">
        <v>96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0.0</v>
      </c>
      <c r="D12" s="1" t="s">
        <v>120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96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244.12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  <c r="N16" s="42">
        <v>45992.0</v>
      </c>
    </row>
    <row r="17">
      <c r="A17" s="1" t="s">
        <v>130</v>
      </c>
      <c r="B17" s="1">
        <v>27.0</v>
      </c>
      <c r="C17" s="37">
        <f>89.9+139.9</f>
        <v>229.8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10.0</v>
      </c>
      <c r="C18" s="37">
        <v>20.0</v>
      </c>
      <c r="D18" s="1" t="s">
        <v>96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45</v>
      </c>
      <c r="B19" s="1">
        <v>8.0</v>
      </c>
      <c r="C19" s="1">
        <v>500.0</v>
      </c>
      <c r="D19" s="1" t="s">
        <v>96</v>
      </c>
      <c r="E19" s="1" t="s">
        <v>132</v>
      </c>
      <c r="G19" s="1" t="s">
        <v>98</v>
      </c>
      <c r="H19" s="1" t="s">
        <v>109</v>
      </c>
      <c r="J19" s="1" t="s">
        <v>45</v>
      </c>
      <c r="M19" s="38"/>
    </row>
    <row r="20">
      <c r="A20" s="1" t="s">
        <v>272</v>
      </c>
      <c r="B20" s="1">
        <v>5.0</v>
      </c>
      <c r="C20" s="1">
        <v>380.0</v>
      </c>
      <c r="D20" s="1" t="s">
        <v>112</v>
      </c>
      <c r="E20" s="1" t="s">
        <v>132</v>
      </c>
      <c r="G20" s="1" t="s">
        <v>98</v>
      </c>
      <c r="H20" s="1" t="s">
        <v>109</v>
      </c>
      <c r="J20" s="1" t="s">
        <v>16</v>
      </c>
      <c r="M20" s="38"/>
    </row>
    <row r="21">
      <c r="A21" s="1" t="s">
        <v>413</v>
      </c>
      <c r="B21" s="1">
        <v>6.0</v>
      </c>
      <c r="C21" s="1">
        <v>328.55</v>
      </c>
      <c r="D21" s="1" t="s">
        <v>96</v>
      </c>
      <c r="E21" s="1" t="s">
        <v>133</v>
      </c>
      <c r="G21" s="1" t="s">
        <v>98</v>
      </c>
      <c r="H21" s="1" t="s">
        <v>109</v>
      </c>
      <c r="J21" s="1" t="s">
        <v>48</v>
      </c>
      <c r="M21" s="38"/>
    </row>
    <row r="22">
      <c r="A22" s="1" t="s">
        <v>414</v>
      </c>
      <c r="B22" s="1">
        <v>17.0</v>
      </c>
      <c r="C22" s="1">
        <v>777.56</v>
      </c>
      <c r="D22" s="1" t="s">
        <v>96</v>
      </c>
      <c r="E22" s="1" t="s">
        <v>133</v>
      </c>
      <c r="G22" s="1" t="s">
        <v>98</v>
      </c>
      <c r="H22" s="1" t="s">
        <v>109</v>
      </c>
      <c r="J22" s="1" t="s">
        <v>46</v>
      </c>
      <c r="M22" s="38"/>
    </row>
    <row r="23">
      <c r="A23" s="1" t="s">
        <v>415</v>
      </c>
      <c r="B23" s="1">
        <v>10.0</v>
      </c>
      <c r="C23" s="1">
        <v>60.0</v>
      </c>
      <c r="D23" s="1" t="s">
        <v>96</v>
      </c>
      <c r="E23" s="1" t="s">
        <v>132</v>
      </c>
      <c r="G23" s="1" t="s">
        <v>98</v>
      </c>
      <c r="H23" s="1" t="s">
        <v>109</v>
      </c>
      <c r="J23" s="1" t="s">
        <v>34</v>
      </c>
      <c r="K23" s="42"/>
      <c r="M23" s="38"/>
    </row>
    <row r="24">
      <c r="A24" s="1" t="s">
        <v>49</v>
      </c>
      <c r="B24" s="1">
        <v>9.0</v>
      </c>
      <c r="C24" s="22">
        <v>0.0</v>
      </c>
      <c r="D24" s="1" t="s">
        <v>96</v>
      </c>
      <c r="E24" s="1" t="s">
        <v>132</v>
      </c>
      <c r="G24" s="1" t="s">
        <v>98</v>
      </c>
      <c r="H24" s="1" t="s">
        <v>109</v>
      </c>
      <c r="J24" s="1" t="s">
        <v>49</v>
      </c>
      <c r="M24" s="38"/>
      <c r="N24" s="42">
        <v>45324.0</v>
      </c>
    </row>
    <row r="25">
      <c r="A25" s="1" t="s">
        <v>416</v>
      </c>
      <c r="B25" s="1">
        <v>0.0</v>
      </c>
      <c r="C25" s="1">
        <v>0.0</v>
      </c>
      <c r="D25" s="1" t="s">
        <v>96</v>
      </c>
      <c r="E25" s="1" t="s">
        <v>133</v>
      </c>
      <c r="G25" s="1" t="s">
        <v>98</v>
      </c>
      <c r="H25" s="1" t="s">
        <v>109</v>
      </c>
      <c r="J25" s="1" t="s">
        <v>34</v>
      </c>
      <c r="M25" s="38"/>
    </row>
    <row r="26">
      <c r="A26" s="1" t="s">
        <v>417</v>
      </c>
      <c r="B26" s="1">
        <v>0.0</v>
      </c>
      <c r="C26" s="1">
        <v>0.0</v>
      </c>
      <c r="D26" s="1" t="s">
        <v>96</v>
      </c>
      <c r="E26" s="1" t="s">
        <v>133</v>
      </c>
      <c r="G26" s="1" t="s">
        <v>98</v>
      </c>
      <c r="J26" s="1" t="s">
        <v>34</v>
      </c>
      <c r="M26" s="38"/>
      <c r="N26" s="42">
        <v>45354.0</v>
      </c>
    </row>
    <row r="27">
      <c r="A27" s="1" t="s">
        <v>418</v>
      </c>
      <c r="B27" s="1">
        <v>0.0</v>
      </c>
      <c r="C27" s="1">
        <v>50.0</v>
      </c>
      <c r="D27" s="1" t="s">
        <v>96</v>
      </c>
      <c r="E27" s="1" t="s">
        <v>133</v>
      </c>
      <c r="G27" s="1" t="s">
        <v>98</v>
      </c>
      <c r="H27" s="1" t="s">
        <v>109</v>
      </c>
      <c r="J27" s="1" t="s">
        <v>18</v>
      </c>
      <c r="M27" s="38"/>
    </row>
    <row r="28">
      <c r="A28" s="1" t="s">
        <v>233</v>
      </c>
      <c r="B28" s="1">
        <v>0.0</v>
      </c>
      <c r="C28" s="1">
        <v>230.76</v>
      </c>
      <c r="D28" s="1" t="s">
        <v>96</v>
      </c>
      <c r="E28" s="1" t="s">
        <v>133</v>
      </c>
      <c r="G28" s="1" t="s">
        <v>98</v>
      </c>
      <c r="J28" s="1" t="s">
        <v>28</v>
      </c>
      <c r="M28" s="38"/>
    </row>
    <row r="29">
      <c r="A29" s="1" t="s">
        <v>419</v>
      </c>
      <c r="B29" s="1">
        <v>0.0</v>
      </c>
      <c r="C29" s="1">
        <v>21.55</v>
      </c>
      <c r="D29" s="1" t="s">
        <v>96</v>
      </c>
      <c r="E29" s="1" t="s">
        <v>133</v>
      </c>
      <c r="G29" s="1" t="s">
        <v>98</v>
      </c>
      <c r="J29" s="1" t="s">
        <v>29</v>
      </c>
      <c r="M29" s="38"/>
      <c r="N29" s="42">
        <v>45872.0</v>
      </c>
    </row>
    <row r="30">
      <c r="A30" s="1" t="s">
        <v>420</v>
      </c>
      <c r="B30" s="1">
        <v>0.0</v>
      </c>
      <c r="C30" s="1">
        <v>95.8</v>
      </c>
      <c r="D30" s="1" t="s">
        <v>96</v>
      </c>
      <c r="E30" s="1" t="s">
        <v>133</v>
      </c>
      <c r="G30" s="1" t="s">
        <v>98</v>
      </c>
      <c r="J30" s="1" t="s">
        <v>34</v>
      </c>
      <c r="M30" s="38"/>
      <c r="N30" s="42">
        <v>45993.0</v>
      </c>
    </row>
    <row r="31">
      <c r="A31" s="1" t="s">
        <v>323</v>
      </c>
      <c r="B31" s="1">
        <v>0.0</v>
      </c>
      <c r="C31" s="1">
        <v>7.0</v>
      </c>
      <c r="D31" s="1" t="s">
        <v>96</v>
      </c>
      <c r="E31" s="1" t="s">
        <v>133</v>
      </c>
      <c r="G31" s="1" t="s">
        <v>118</v>
      </c>
      <c r="H31" s="1" t="s">
        <v>109</v>
      </c>
      <c r="J31" s="1" t="s">
        <v>34</v>
      </c>
      <c r="M31" s="38"/>
    </row>
    <row r="32">
      <c r="A32" s="1" t="s">
        <v>421</v>
      </c>
      <c r="B32" s="1">
        <v>0.0</v>
      </c>
      <c r="C32" s="1">
        <v>85.7</v>
      </c>
      <c r="D32" s="1" t="s">
        <v>96</v>
      </c>
      <c r="E32" s="1" t="s">
        <v>133</v>
      </c>
      <c r="G32" s="1" t="s">
        <v>98</v>
      </c>
      <c r="J32" s="1" t="s">
        <v>34</v>
      </c>
      <c r="M32" s="38"/>
    </row>
    <row r="33">
      <c r="A33" s="1" t="s">
        <v>263</v>
      </c>
      <c r="B33" s="1">
        <v>1.0</v>
      </c>
      <c r="C33" s="1">
        <v>103.9</v>
      </c>
      <c r="D33" s="1" t="s">
        <v>96</v>
      </c>
      <c r="E33" s="1" t="s">
        <v>133</v>
      </c>
      <c r="G33" s="1" t="s">
        <v>98</v>
      </c>
      <c r="J33" s="1" t="s">
        <v>28</v>
      </c>
      <c r="M33" s="38"/>
    </row>
    <row r="34">
      <c r="A34" s="1" t="s">
        <v>286</v>
      </c>
      <c r="B34" s="1">
        <v>1.0</v>
      </c>
      <c r="C34" s="1">
        <v>25.5</v>
      </c>
      <c r="D34" s="1" t="s">
        <v>96</v>
      </c>
      <c r="E34" s="1" t="s">
        <v>133</v>
      </c>
      <c r="G34" s="1" t="s">
        <v>98</v>
      </c>
      <c r="J34" s="1" t="s">
        <v>24</v>
      </c>
      <c r="M34" s="38"/>
    </row>
    <row r="35">
      <c r="A35" s="1" t="s">
        <v>422</v>
      </c>
      <c r="B35" s="1">
        <v>0.0</v>
      </c>
      <c r="C35" s="1">
        <v>130.0</v>
      </c>
      <c r="D35" s="1" t="s">
        <v>96</v>
      </c>
      <c r="E35" s="1" t="s">
        <v>133</v>
      </c>
      <c r="G35" s="1" t="s">
        <v>98</v>
      </c>
      <c r="J35" s="1" t="s">
        <v>15</v>
      </c>
      <c r="M35" s="38"/>
    </row>
    <row r="36">
      <c r="A36" s="1" t="s">
        <v>393</v>
      </c>
      <c r="B36" s="1">
        <v>0.0</v>
      </c>
      <c r="C36" s="1">
        <v>96.93</v>
      </c>
      <c r="D36" s="1" t="s">
        <v>96</v>
      </c>
      <c r="E36" s="1" t="s">
        <v>133</v>
      </c>
      <c r="G36" s="1" t="s">
        <v>98</v>
      </c>
      <c r="J36" s="1" t="s">
        <v>29</v>
      </c>
      <c r="M36" s="38"/>
    </row>
    <row r="37">
      <c r="A37" s="1" t="s">
        <v>423</v>
      </c>
      <c r="B37" s="1">
        <v>0.0</v>
      </c>
      <c r="C37" s="1">
        <v>57.8</v>
      </c>
      <c r="D37" s="1" t="s">
        <v>96</v>
      </c>
      <c r="E37" s="1" t="s">
        <v>133</v>
      </c>
      <c r="G37" s="1" t="s">
        <v>98</v>
      </c>
      <c r="J37" s="1" t="s">
        <v>15</v>
      </c>
      <c r="M37" s="38"/>
    </row>
    <row r="38">
      <c r="A38" s="1" t="s">
        <v>418</v>
      </c>
      <c r="B38" s="1">
        <v>0.0</v>
      </c>
      <c r="C38" s="1">
        <v>65.85</v>
      </c>
      <c r="D38" s="1" t="s">
        <v>96</v>
      </c>
      <c r="E38" s="1" t="s">
        <v>133</v>
      </c>
      <c r="G38" s="1" t="s">
        <v>98</v>
      </c>
      <c r="J38" s="1" t="s">
        <v>18</v>
      </c>
      <c r="M38" s="36" t="s">
        <v>43</v>
      </c>
    </row>
    <row r="39">
      <c r="A39" s="1" t="s">
        <v>417</v>
      </c>
      <c r="B39" s="1">
        <v>0.0</v>
      </c>
      <c r="C39" s="1">
        <v>24.0</v>
      </c>
      <c r="D39" s="1" t="s">
        <v>96</v>
      </c>
      <c r="E39" s="1" t="s">
        <v>133</v>
      </c>
      <c r="G39" s="1" t="s">
        <v>98</v>
      </c>
      <c r="J39" s="1" t="s">
        <v>34</v>
      </c>
      <c r="M39" s="38"/>
    </row>
    <row r="40">
      <c r="A40" s="1" t="s">
        <v>424</v>
      </c>
      <c r="B40" s="1">
        <v>0.0</v>
      </c>
      <c r="C40" s="1">
        <v>49.54</v>
      </c>
      <c r="D40" s="1" t="s">
        <v>96</v>
      </c>
      <c r="E40" s="1" t="s">
        <v>133</v>
      </c>
      <c r="G40" s="1" t="s">
        <v>98</v>
      </c>
      <c r="J40" s="1" t="s">
        <v>34</v>
      </c>
      <c r="M40" s="38"/>
    </row>
    <row r="41">
      <c r="A41" s="1" t="s">
        <v>154</v>
      </c>
      <c r="B41" s="1">
        <v>0.0</v>
      </c>
      <c r="C41" s="1">
        <v>4.0</v>
      </c>
      <c r="D41" s="1" t="s">
        <v>96</v>
      </c>
      <c r="E41" s="1" t="s">
        <v>133</v>
      </c>
      <c r="G41" s="1" t="s">
        <v>98</v>
      </c>
      <c r="J41" s="1" t="s">
        <v>39</v>
      </c>
      <c r="M41" s="38"/>
    </row>
    <row r="42">
      <c r="A42" s="1" t="s">
        <v>247</v>
      </c>
      <c r="B42" s="1">
        <v>0.0</v>
      </c>
      <c r="C42" s="1">
        <v>82.96</v>
      </c>
      <c r="D42" s="1" t="s">
        <v>96</v>
      </c>
      <c r="E42" s="1" t="s">
        <v>133</v>
      </c>
      <c r="G42" s="1" t="s">
        <v>98</v>
      </c>
      <c r="J42" s="1" t="s">
        <v>29</v>
      </c>
      <c r="L42" s="42"/>
      <c r="M42" s="38"/>
    </row>
    <row r="43">
      <c r="A43" s="1" t="s">
        <v>425</v>
      </c>
      <c r="B43" s="1">
        <v>0.0</v>
      </c>
      <c r="C43" s="1">
        <v>58.32</v>
      </c>
      <c r="D43" s="1" t="s">
        <v>96</v>
      </c>
      <c r="E43" s="1" t="s">
        <v>133</v>
      </c>
      <c r="G43" s="1" t="s">
        <v>98</v>
      </c>
      <c r="J43" s="1" t="s">
        <v>24</v>
      </c>
      <c r="M43" s="38"/>
    </row>
    <row r="44">
      <c r="A44" s="1" t="s">
        <v>426</v>
      </c>
      <c r="B44" s="1">
        <v>0.0</v>
      </c>
      <c r="C44" s="1">
        <v>54.32</v>
      </c>
      <c r="D44" s="1" t="s">
        <v>96</v>
      </c>
      <c r="E44" s="1" t="s">
        <v>133</v>
      </c>
      <c r="G44" s="1" t="s">
        <v>98</v>
      </c>
      <c r="J44" s="1" t="s">
        <v>15</v>
      </c>
      <c r="M44" s="38"/>
    </row>
    <row r="45">
      <c r="A45" s="1" t="s">
        <v>427</v>
      </c>
      <c r="B45" s="1">
        <v>0.0</v>
      </c>
      <c r="C45" s="1">
        <v>27.9</v>
      </c>
      <c r="D45" s="1" t="s">
        <v>96</v>
      </c>
      <c r="E45" s="1" t="s">
        <v>133</v>
      </c>
      <c r="G45" s="1" t="s">
        <v>98</v>
      </c>
      <c r="J45" s="1" t="s">
        <v>28</v>
      </c>
      <c r="M45" s="38"/>
    </row>
    <row r="46">
      <c r="A46" s="1" t="s">
        <v>333</v>
      </c>
      <c r="B46" s="1">
        <v>2.0</v>
      </c>
      <c r="C46" s="1">
        <v>24.0</v>
      </c>
      <c r="D46" s="1" t="s">
        <v>96</v>
      </c>
      <c r="E46" s="1" t="s">
        <v>133</v>
      </c>
      <c r="G46" s="1" t="s">
        <v>98</v>
      </c>
      <c r="J46" s="1" t="s">
        <v>24</v>
      </c>
      <c r="M46" s="38"/>
    </row>
    <row r="47">
      <c r="A47" s="1" t="s">
        <v>428</v>
      </c>
      <c r="B47" s="1">
        <v>2.0</v>
      </c>
      <c r="C47" s="1">
        <v>230.0</v>
      </c>
      <c r="D47" s="1" t="s">
        <v>96</v>
      </c>
      <c r="E47" s="1" t="s">
        <v>133</v>
      </c>
      <c r="G47" s="1" t="s">
        <v>98</v>
      </c>
      <c r="J47" s="1" t="s">
        <v>28</v>
      </c>
      <c r="M47" s="38"/>
    </row>
    <row r="48">
      <c r="A48" s="1" t="s">
        <v>261</v>
      </c>
      <c r="B48" s="1">
        <v>3.0</v>
      </c>
      <c r="C48" s="1">
        <v>109.99</v>
      </c>
      <c r="D48" s="1" t="s">
        <v>96</v>
      </c>
      <c r="E48" s="1" t="s">
        <v>133</v>
      </c>
      <c r="G48" s="1" t="s">
        <v>98</v>
      </c>
      <c r="J48" s="1" t="s">
        <v>29</v>
      </c>
      <c r="M48" s="38"/>
    </row>
    <row r="49">
      <c r="A49" s="1" t="s">
        <v>429</v>
      </c>
      <c r="B49" s="1">
        <v>3.0</v>
      </c>
      <c r="C49" s="1">
        <v>71.97</v>
      </c>
      <c r="D49" s="1" t="s">
        <v>96</v>
      </c>
      <c r="E49" s="1" t="s">
        <v>133</v>
      </c>
      <c r="G49" s="1" t="s">
        <v>98</v>
      </c>
      <c r="J49" s="1" t="s">
        <v>25</v>
      </c>
      <c r="M49" s="38"/>
    </row>
    <row r="50">
      <c r="A50" s="1" t="s">
        <v>424</v>
      </c>
      <c r="B50" s="1">
        <v>4.0</v>
      </c>
      <c r="C50" s="1">
        <v>59.6</v>
      </c>
      <c r="D50" s="1" t="s">
        <v>96</v>
      </c>
      <c r="E50" s="1" t="s">
        <v>133</v>
      </c>
      <c r="G50" s="1" t="s">
        <v>98</v>
      </c>
      <c r="J50" s="1" t="s">
        <v>34</v>
      </c>
      <c r="M50" s="38"/>
    </row>
    <row r="51">
      <c r="A51" s="1" t="s">
        <v>154</v>
      </c>
      <c r="B51" s="1">
        <v>5.0</v>
      </c>
      <c r="C51" s="1">
        <v>9.0</v>
      </c>
      <c r="D51" s="1" t="s">
        <v>96</v>
      </c>
      <c r="E51" s="1" t="s">
        <v>133</v>
      </c>
      <c r="G51" s="1" t="s">
        <v>98</v>
      </c>
      <c r="J51" s="1" t="s">
        <v>39</v>
      </c>
      <c r="M51" s="38"/>
    </row>
    <row r="52">
      <c r="A52" s="1" t="s">
        <v>270</v>
      </c>
      <c r="B52" s="1">
        <v>5.0</v>
      </c>
      <c r="C52" s="1">
        <v>40.0</v>
      </c>
      <c r="D52" s="1" t="s">
        <v>96</v>
      </c>
      <c r="E52" s="1" t="s">
        <v>133</v>
      </c>
      <c r="G52" s="1" t="s">
        <v>98</v>
      </c>
      <c r="J52" s="1" t="s">
        <v>18</v>
      </c>
      <c r="M52" s="38"/>
    </row>
    <row r="53">
      <c r="A53" s="1" t="s">
        <v>430</v>
      </c>
      <c r="B53" s="1">
        <v>6.0</v>
      </c>
      <c r="C53" s="1">
        <v>8.0</v>
      </c>
      <c r="D53" s="1" t="s">
        <v>96</v>
      </c>
      <c r="E53" s="1" t="s">
        <v>133</v>
      </c>
      <c r="G53" s="1" t="s">
        <v>98</v>
      </c>
      <c r="J53" s="1" t="s">
        <v>39</v>
      </c>
      <c r="M53" s="38"/>
    </row>
    <row r="54">
      <c r="A54" s="1" t="s">
        <v>165</v>
      </c>
      <c r="B54" s="1">
        <v>6.0</v>
      </c>
      <c r="C54" s="1">
        <v>132.79</v>
      </c>
      <c r="D54" s="1" t="s">
        <v>96</v>
      </c>
      <c r="E54" s="1" t="s">
        <v>133</v>
      </c>
      <c r="G54" s="1" t="s">
        <v>98</v>
      </c>
      <c r="J54" s="1" t="s">
        <v>29</v>
      </c>
      <c r="M54" s="38"/>
    </row>
    <row r="55">
      <c r="A55" s="1" t="s">
        <v>250</v>
      </c>
      <c r="B55" s="1">
        <v>7.0</v>
      </c>
      <c r="C55" s="1">
        <v>38.86</v>
      </c>
      <c r="D55" s="1" t="s">
        <v>96</v>
      </c>
      <c r="E55" s="1" t="s">
        <v>133</v>
      </c>
      <c r="G55" s="1"/>
      <c r="J55" s="1" t="s">
        <v>24</v>
      </c>
      <c r="M55" s="38"/>
    </row>
    <row r="56">
      <c r="A56" s="1" t="s">
        <v>418</v>
      </c>
      <c r="B56" s="1">
        <v>8.0</v>
      </c>
      <c r="C56" s="1">
        <v>50.0</v>
      </c>
      <c r="D56" s="1" t="s">
        <v>96</v>
      </c>
      <c r="E56" s="1" t="s">
        <v>133</v>
      </c>
      <c r="G56" s="1"/>
      <c r="J56" s="1" t="s">
        <v>18</v>
      </c>
      <c r="M56" s="38"/>
    </row>
    <row r="57">
      <c r="A57" s="1" t="s">
        <v>431</v>
      </c>
      <c r="B57" s="1">
        <v>8.0</v>
      </c>
      <c r="C57" s="1">
        <v>48.6</v>
      </c>
      <c r="D57" s="1" t="s">
        <v>96</v>
      </c>
      <c r="E57" s="1" t="s">
        <v>133</v>
      </c>
      <c r="G57" s="1"/>
      <c r="J57" s="1" t="s">
        <v>41</v>
      </c>
      <c r="M57" s="38"/>
    </row>
    <row r="58">
      <c r="A58" s="1" t="s">
        <v>395</v>
      </c>
      <c r="B58" s="1">
        <v>8.0</v>
      </c>
      <c r="C58" s="1">
        <v>50.0</v>
      </c>
      <c r="D58" s="1" t="s">
        <v>96</v>
      </c>
      <c r="E58" s="1" t="s">
        <v>133</v>
      </c>
      <c r="G58" s="1"/>
      <c r="J58" s="1" t="s">
        <v>18</v>
      </c>
      <c r="M58" s="38"/>
    </row>
    <row r="59">
      <c r="A59" s="1" t="s">
        <v>154</v>
      </c>
      <c r="B59" s="1">
        <v>9.0</v>
      </c>
      <c r="C59" s="1">
        <v>4.0</v>
      </c>
      <c r="D59" s="1" t="s">
        <v>96</v>
      </c>
      <c r="E59" s="1" t="s">
        <v>133</v>
      </c>
      <c r="G59" s="1"/>
      <c r="J59" s="1" t="s">
        <v>39</v>
      </c>
      <c r="M59" s="38"/>
    </row>
    <row r="60">
      <c r="A60" s="1" t="s">
        <v>165</v>
      </c>
      <c r="B60" s="1">
        <v>9.0</v>
      </c>
      <c r="C60" s="1">
        <v>178.38</v>
      </c>
      <c r="D60" s="1" t="s">
        <v>96</v>
      </c>
      <c r="E60" s="1" t="s">
        <v>133</v>
      </c>
      <c r="G60" s="1"/>
      <c r="J60" s="1" t="s">
        <v>29</v>
      </c>
      <c r="M60" s="38"/>
    </row>
    <row r="61">
      <c r="A61" s="1" t="s">
        <v>308</v>
      </c>
      <c r="B61" s="1">
        <v>9.0</v>
      </c>
      <c r="C61" s="1">
        <v>12.4</v>
      </c>
      <c r="D61" s="1" t="s">
        <v>96</v>
      </c>
      <c r="E61" s="1" t="s">
        <v>133</v>
      </c>
      <c r="G61" s="1"/>
      <c r="J61" s="1" t="s">
        <v>34</v>
      </c>
      <c r="M61" s="38"/>
    </row>
    <row r="62">
      <c r="A62" s="1" t="s">
        <v>308</v>
      </c>
      <c r="B62" s="1">
        <v>9.0</v>
      </c>
      <c r="C62" s="1">
        <v>72.8</v>
      </c>
      <c r="D62" s="1" t="s">
        <v>96</v>
      </c>
      <c r="E62" s="1" t="s">
        <v>133</v>
      </c>
      <c r="G62" s="1"/>
      <c r="J62" s="1" t="s">
        <v>34</v>
      </c>
      <c r="M62" s="38"/>
    </row>
    <row r="63">
      <c r="A63" s="1" t="s">
        <v>432</v>
      </c>
      <c r="B63" s="1">
        <v>9.0</v>
      </c>
      <c r="C63" s="1">
        <v>39.97</v>
      </c>
      <c r="D63" s="1" t="s">
        <v>96</v>
      </c>
      <c r="E63" s="1" t="s">
        <v>133</v>
      </c>
      <c r="G63" s="1"/>
      <c r="J63" s="1" t="s">
        <v>35</v>
      </c>
      <c r="M63" s="38"/>
    </row>
    <row r="64">
      <c r="A64" s="1" t="s">
        <v>154</v>
      </c>
      <c r="B64" s="1">
        <v>12.0</v>
      </c>
      <c r="C64" s="1">
        <v>9.0</v>
      </c>
      <c r="D64" s="1" t="s">
        <v>96</v>
      </c>
      <c r="E64" s="1" t="s">
        <v>133</v>
      </c>
      <c r="G64" s="1"/>
      <c r="J64" s="1" t="s">
        <v>39</v>
      </c>
      <c r="M64" s="38"/>
    </row>
    <row r="65">
      <c r="A65" s="1" t="s">
        <v>286</v>
      </c>
      <c r="B65" s="1">
        <v>12.0</v>
      </c>
      <c r="C65" s="1">
        <v>20.4</v>
      </c>
      <c r="D65" s="1" t="s">
        <v>96</v>
      </c>
      <c r="E65" s="1" t="s">
        <v>133</v>
      </c>
      <c r="G65" s="1"/>
      <c r="J65" s="1" t="s">
        <v>24</v>
      </c>
      <c r="L65" s="42"/>
      <c r="M65" s="38"/>
    </row>
    <row r="66">
      <c r="A66" s="1" t="s">
        <v>333</v>
      </c>
      <c r="B66" s="1">
        <v>12.0</v>
      </c>
      <c r="C66" s="1">
        <v>24.0</v>
      </c>
      <c r="D66" s="1" t="s">
        <v>96</v>
      </c>
      <c r="E66" s="1" t="s">
        <v>133</v>
      </c>
      <c r="G66" s="1"/>
      <c r="J66" s="1" t="s">
        <v>24</v>
      </c>
      <c r="M66" s="38"/>
    </row>
    <row r="67">
      <c r="A67" s="1" t="s">
        <v>433</v>
      </c>
      <c r="B67" s="1">
        <v>12.0</v>
      </c>
      <c r="C67" s="1">
        <v>5.0</v>
      </c>
      <c r="D67" s="1" t="s">
        <v>96</v>
      </c>
      <c r="E67" s="1" t="s">
        <v>133</v>
      </c>
      <c r="J67" s="1" t="s">
        <v>20</v>
      </c>
      <c r="M67" s="38"/>
    </row>
    <row r="68">
      <c r="A68" s="1" t="s">
        <v>434</v>
      </c>
      <c r="B68" s="1">
        <v>12.0</v>
      </c>
      <c r="C68" s="1">
        <v>45.9</v>
      </c>
      <c r="D68" s="1" t="s">
        <v>96</v>
      </c>
      <c r="E68" s="1" t="s">
        <v>133</v>
      </c>
      <c r="J68" s="1" t="s">
        <v>29</v>
      </c>
      <c r="M68" s="38"/>
    </row>
    <row r="69">
      <c r="A69" s="1" t="s">
        <v>393</v>
      </c>
      <c r="B69" s="1">
        <v>12.0</v>
      </c>
      <c r="C69" s="1">
        <v>64.64</v>
      </c>
      <c r="D69" s="1" t="s">
        <v>96</v>
      </c>
      <c r="E69" s="1" t="s">
        <v>133</v>
      </c>
      <c r="J69" s="1" t="s">
        <v>29</v>
      </c>
      <c r="M69" s="38"/>
    </row>
    <row r="70">
      <c r="A70" s="1" t="s">
        <v>435</v>
      </c>
      <c r="B70" s="1">
        <v>12.0</v>
      </c>
      <c r="C70" s="1">
        <v>757.8</v>
      </c>
      <c r="D70" s="1" t="s">
        <v>96</v>
      </c>
      <c r="E70" s="1" t="s">
        <v>133</v>
      </c>
      <c r="J70" s="1" t="s">
        <v>15</v>
      </c>
      <c r="M70" s="38"/>
    </row>
    <row r="71">
      <c r="A71" s="1" t="s">
        <v>436</v>
      </c>
      <c r="B71" s="1">
        <v>12.0</v>
      </c>
      <c r="C71" s="1">
        <v>24.99</v>
      </c>
      <c r="D71" s="1" t="s">
        <v>96</v>
      </c>
      <c r="E71" s="1" t="s">
        <v>133</v>
      </c>
      <c r="J71" s="1" t="s">
        <v>41</v>
      </c>
      <c r="M71" s="38"/>
    </row>
    <row r="72">
      <c r="A72" s="1" t="s">
        <v>437</v>
      </c>
      <c r="B72" s="1">
        <v>13.0</v>
      </c>
      <c r="C72" s="1">
        <v>30.0</v>
      </c>
      <c r="D72" s="1" t="s">
        <v>96</v>
      </c>
      <c r="E72" s="1" t="s">
        <v>133</v>
      </c>
      <c r="J72" s="1" t="s">
        <v>34</v>
      </c>
      <c r="K72" s="42"/>
      <c r="M72" s="38"/>
    </row>
    <row r="73">
      <c r="A73" s="1" t="s">
        <v>438</v>
      </c>
      <c r="B73" s="1">
        <v>13.0</v>
      </c>
      <c r="C73" s="1">
        <v>27.0</v>
      </c>
      <c r="D73" s="1" t="s">
        <v>96</v>
      </c>
      <c r="E73" s="1" t="s">
        <v>133</v>
      </c>
      <c r="J73" s="1" t="s">
        <v>34</v>
      </c>
      <c r="M73" s="38"/>
    </row>
    <row r="74">
      <c r="A74" s="1" t="s">
        <v>439</v>
      </c>
      <c r="B74" s="1">
        <v>13.0</v>
      </c>
      <c r="C74" s="1">
        <v>17.0</v>
      </c>
      <c r="D74" s="1" t="s">
        <v>96</v>
      </c>
      <c r="E74" s="1" t="s">
        <v>133</v>
      </c>
      <c r="J74" s="1" t="s">
        <v>34</v>
      </c>
      <c r="M74" s="38"/>
    </row>
    <row r="75">
      <c r="A75" s="1" t="s">
        <v>440</v>
      </c>
      <c r="B75" s="1">
        <v>13.0</v>
      </c>
      <c r="C75" s="1">
        <v>62.0</v>
      </c>
      <c r="D75" s="1" t="s">
        <v>96</v>
      </c>
      <c r="E75" s="1" t="s">
        <v>133</v>
      </c>
      <c r="J75" s="1" t="s">
        <v>34</v>
      </c>
      <c r="M75" s="38"/>
    </row>
    <row r="76">
      <c r="A76" s="1" t="s">
        <v>441</v>
      </c>
      <c r="B76" s="1">
        <v>13.0</v>
      </c>
      <c r="C76" s="1">
        <v>10.0</v>
      </c>
      <c r="D76" s="1" t="s">
        <v>96</v>
      </c>
      <c r="E76" s="1" t="s">
        <v>133</v>
      </c>
      <c r="J76" s="1" t="s">
        <v>34</v>
      </c>
      <c r="M76" s="38"/>
    </row>
    <row r="77">
      <c r="A77" s="1" t="s">
        <v>441</v>
      </c>
      <c r="B77" s="1">
        <v>13.0</v>
      </c>
      <c r="C77" s="1">
        <v>10.0</v>
      </c>
      <c r="D77" s="1" t="s">
        <v>96</v>
      </c>
      <c r="E77" s="1" t="s">
        <v>133</v>
      </c>
      <c r="J77" s="1" t="s">
        <v>34</v>
      </c>
      <c r="M77" s="38"/>
    </row>
    <row r="78">
      <c r="A78" s="1" t="s">
        <v>154</v>
      </c>
      <c r="B78" s="1">
        <v>13.0</v>
      </c>
      <c r="C78" s="1">
        <v>4.0</v>
      </c>
      <c r="D78" s="1" t="s">
        <v>96</v>
      </c>
      <c r="E78" s="1" t="s">
        <v>133</v>
      </c>
      <c r="J78" s="1" t="s">
        <v>39</v>
      </c>
      <c r="M78" s="38"/>
    </row>
    <row r="79">
      <c r="A79" s="1" t="s">
        <v>418</v>
      </c>
      <c r="B79" s="1">
        <v>15.0</v>
      </c>
      <c r="C79" s="1">
        <v>66.09</v>
      </c>
      <c r="D79" s="1" t="s">
        <v>96</v>
      </c>
      <c r="E79" s="1" t="s">
        <v>133</v>
      </c>
      <c r="J79" s="1" t="s">
        <v>18</v>
      </c>
      <c r="M79" s="38"/>
    </row>
    <row r="80">
      <c r="A80" s="1" t="s">
        <v>154</v>
      </c>
      <c r="B80" s="1">
        <v>16.0</v>
      </c>
      <c r="C80" s="1">
        <v>4.0</v>
      </c>
      <c r="D80" s="1" t="s">
        <v>96</v>
      </c>
      <c r="E80" s="1" t="s">
        <v>133</v>
      </c>
      <c r="J80" s="1" t="s">
        <v>39</v>
      </c>
      <c r="M80" s="38"/>
    </row>
    <row r="81">
      <c r="A81" s="1" t="s">
        <v>442</v>
      </c>
      <c r="B81" s="1">
        <v>19.0</v>
      </c>
      <c r="C81" s="1">
        <v>29.99</v>
      </c>
      <c r="D81" s="1" t="s">
        <v>96</v>
      </c>
      <c r="E81" s="1" t="s">
        <v>133</v>
      </c>
      <c r="J81" s="1" t="s">
        <v>31</v>
      </c>
      <c r="M81" s="38"/>
    </row>
    <row r="82">
      <c r="A82" s="1" t="s">
        <v>154</v>
      </c>
      <c r="B82" s="1">
        <v>19.0</v>
      </c>
      <c r="C82" s="1">
        <v>5.0</v>
      </c>
      <c r="D82" s="1" t="s">
        <v>96</v>
      </c>
      <c r="E82" s="1" t="s">
        <v>133</v>
      </c>
      <c r="J82" s="1" t="s">
        <v>39</v>
      </c>
      <c r="M82" s="38"/>
    </row>
    <row r="83">
      <c r="A83" s="1" t="s">
        <v>434</v>
      </c>
      <c r="B83" s="1">
        <v>19.0</v>
      </c>
      <c r="C83" s="1">
        <v>81.9</v>
      </c>
      <c r="D83" s="1" t="s">
        <v>96</v>
      </c>
      <c r="E83" s="1" t="s">
        <v>133</v>
      </c>
      <c r="J83" s="1" t="s">
        <v>34</v>
      </c>
      <c r="M83" s="38"/>
    </row>
    <row r="84">
      <c r="A84" s="1" t="s">
        <v>443</v>
      </c>
      <c r="B84" s="1">
        <v>19.0</v>
      </c>
      <c r="C84" s="1">
        <v>19.99</v>
      </c>
      <c r="D84" s="1" t="s">
        <v>96</v>
      </c>
      <c r="E84" s="1" t="s">
        <v>133</v>
      </c>
      <c r="J84" s="1" t="s">
        <v>40</v>
      </c>
      <c r="M84" s="38"/>
    </row>
    <row r="85">
      <c r="A85" s="1" t="s">
        <v>247</v>
      </c>
      <c r="B85" s="1">
        <v>19.0</v>
      </c>
      <c r="C85" s="1">
        <v>64.97</v>
      </c>
      <c r="D85" s="1" t="s">
        <v>96</v>
      </c>
      <c r="E85" s="1" t="s">
        <v>133</v>
      </c>
      <c r="J85" s="1" t="s">
        <v>29</v>
      </c>
      <c r="M85" s="38"/>
    </row>
    <row r="86">
      <c r="A86" s="1" t="s">
        <v>444</v>
      </c>
      <c r="B86" s="1">
        <v>19.0</v>
      </c>
      <c r="C86" s="1">
        <v>159.98</v>
      </c>
      <c r="D86" s="1" t="s">
        <v>96</v>
      </c>
      <c r="E86" s="1" t="s">
        <v>133</v>
      </c>
      <c r="J86" s="1" t="s">
        <v>31</v>
      </c>
      <c r="M86" s="38"/>
    </row>
    <row r="87">
      <c r="A87" s="1" t="s">
        <v>154</v>
      </c>
      <c r="B87" s="1">
        <v>20.0</v>
      </c>
      <c r="C87" s="1">
        <v>4.0</v>
      </c>
      <c r="D87" s="1" t="s">
        <v>96</v>
      </c>
      <c r="E87" s="1" t="s">
        <v>133</v>
      </c>
      <c r="J87" s="1" t="s">
        <v>39</v>
      </c>
      <c r="M87" s="38"/>
    </row>
    <row r="88">
      <c r="A88" s="1" t="s">
        <v>233</v>
      </c>
      <c r="B88" s="1">
        <v>20.0</v>
      </c>
      <c r="C88" s="1">
        <v>103.99</v>
      </c>
      <c r="D88" s="1" t="s">
        <v>96</v>
      </c>
      <c r="E88" s="1" t="s">
        <v>133</v>
      </c>
      <c r="J88" s="1" t="s">
        <v>28</v>
      </c>
      <c r="M88" s="38"/>
    </row>
    <row r="89">
      <c r="A89" s="1" t="s">
        <v>296</v>
      </c>
      <c r="B89" s="1">
        <v>24.0</v>
      </c>
      <c r="C89" s="1">
        <v>26.74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154</v>
      </c>
      <c r="B90" s="1">
        <v>24.0</v>
      </c>
      <c r="C90" s="1">
        <v>9.0</v>
      </c>
      <c r="D90" s="1" t="s">
        <v>96</v>
      </c>
      <c r="E90" s="1" t="s">
        <v>133</v>
      </c>
      <c r="J90" s="1" t="s">
        <v>39</v>
      </c>
      <c r="M90" s="38"/>
    </row>
    <row r="91">
      <c r="A91" s="1" t="s">
        <v>261</v>
      </c>
      <c r="B91" s="1">
        <v>24.0</v>
      </c>
      <c r="C91" s="1">
        <v>285.03</v>
      </c>
      <c r="D91" s="1" t="s">
        <v>96</v>
      </c>
      <c r="E91" s="1" t="s">
        <v>133</v>
      </c>
      <c r="J91" s="1" t="s">
        <v>29</v>
      </c>
      <c r="M91" s="38"/>
    </row>
    <row r="92">
      <c r="A92" s="1" t="s">
        <v>402</v>
      </c>
      <c r="B92" s="1">
        <v>25.0</v>
      </c>
      <c r="C92" s="1">
        <v>297.52</v>
      </c>
      <c r="D92" s="1" t="s">
        <v>96</v>
      </c>
      <c r="E92" s="1" t="s">
        <v>133</v>
      </c>
      <c r="J92" s="1" t="s">
        <v>44</v>
      </c>
      <c r="M92" s="38"/>
    </row>
    <row r="93">
      <c r="A93" s="1" t="s">
        <v>418</v>
      </c>
      <c r="B93" s="1">
        <v>26.0</v>
      </c>
      <c r="C93" s="1">
        <v>60.98</v>
      </c>
      <c r="D93" s="1" t="s">
        <v>96</v>
      </c>
      <c r="E93" s="1" t="s">
        <v>133</v>
      </c>
      <c r="J93" s="1" t="s">
        <v>18</v>
      </c>
      <c r="M93" s="38"/>
    </row>
    <row r="94">
      <c r="A94" s="1" t="s">
        <v>433</v>
      </c>
      <c r="B94" s="1">
        <v>26.0</v>
      </c>
      <c r="C94" s="1">
        <v>11.0</v>
      </c>
      <c r="D94" s="1" t="s">
        <v>96</v>
      </c>
      <c r="E94" s="1" t="s">
        <v>133</v>
      </c>
      <c r="J94" s="1" t="s">
        <v>20</v>
      </c>
      <c r="M94" s="38"/>
    </row>
    <row r="95">
      <c r="A95" s="1" t="s">
        <v>445</v>
      </c>
      <c r="B95" s="1">
        <v>26.0</v>
      </c>
      <c r="C95" s="1">
        <v>30.0</v>
      </c>
      <c r="D95" s="1" t="s">
        <v>96</v>
      </c>
      <c r="E95" s="1" t="s">
        <v>133</v>
      </c>
      <c r="J95" s="1" t="s">
        <v>32</v>
      </c>
      <c r="M95" s="38"/>
    </row>
    <row r="96">
      <c r="A96" s="1" t="s">
        <v>446</v>
      </c>
      <c r="B96" s="1">
        <v>26.0</v>
      </c>
      <c r="C96" s="1">
        <v>10.0</v>
      </c>
      <c r="D96" s="1" t="s">
        <v>96</v>
      </c>
      <c r="E96" s="1" t="s">
        <v>133</v>
      </c>
      <c r="J96" s="1" t="s">
        <v>32</v>
      </c>
      <c r="M96" s="38"/>
    </row>
    <row r="97">
      <c r="A97" s="1" t="s">
        <v>447</v>
      </c>
      <c r="B97" s="1">
        <v>26.0</v>
      </c>
      <c r="C97" s="1">
        <v>69.99</v>
      </c>
      <c r="D97" s="1" t="s">
        <v>96</v>
      </c>
      <c r="E97" s="1" t="s">
        <v>133</v>
      </c>
      <c r="J97" s="1" t="s">
        <v>31</v>
      </c>
      <c r="M97" s="38"/>
    </row>
    <row r="98">
      <c r="A98" s="1" t="s">
        <v>390</v>
      </c>
      <c r="B98" s="1">
        <v>26.0</v>
      </c>
      <c r="C98" s="1">
        <v>49.99</v>
      </c>
      <c r="D98" s="1" t="s">
        <v>96</v>
      </c>
      <c r="E98" s="1" t="s">
        <v>133</v>
      </c>
      <c r="J98" s="1" t="s">
        <v>15</v>
      </c>
      <c r="M98" s="38"/>
    </row>
    <row r="99">
      <c r="A99" s="1" t="s">
        <v>308</v>
      </c>
      <c r="B99" s="1">
        <v>26.0</v>
      </c>
      <c r="C99" s="1">
        <v>38.9</v>
      </c>
      <c r="D99" s="1" t="s">
        <v>96</v>
      </c>
      <c r="E99" s="1" t="s">
        <v>133</v>
      </c>
      <c r="J99" s="1" t="s">
        <v>34</v>
      </c>
      <c r="M99" s="38"/>
    </row>
    <row r="100">
      <c r="A100" s="1" t="s">
        <v>444</v>
      </c>
      <c r="B100" s="1">
        <v>26.0</v>
      </c>
      <c r="C100" s="1">
        <v>104.97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158</v>
      </c>
      <c r="B101" s="1">
        <v>26.0</v>
      </c>
      <c r="C101" s="1">
        <v>104.12</v>
      </c>
      <c r="D101" s="1" t="s">
        <v>96</v>
      </c>
      <c r="E101" s="1" t="s">
        <v>133</v>
      </c>
      <c r="J101" s="1" t="s">
        <v>34</v>
      </c>
      <c r="M101" s="38"/>
    </row>
    <row r="102">
      <c r="A102" s="1" t="s">
        <v>154</v>
      </c>
      <c r="B102" s="1">
        <v>27.0</v>
      </c>
      <c r="C102" s="1">
        <v>4.0</v>
      </c>
      <c r="D102" s="1" t="s">
        <v>96</v>
      </c>
      <c r="E102" s="1" t="s">
        <v>133</v>
      </c>
      <c r="J102" s="1" t="s">
        <v>39</v>
      </c>
      <c r="M102" s="38"/>
    </row>
    <row r="103">
      <c r="A103" s="1" t="s">
        <v>448</v>
      </c>
      <c r="B103" s="1">
        <v>12.0</v>
      </c>
      <c r="C103" s="1">
        <v>481.19</v>
      </c>
      <c r="D103" s="1" t="s">
        <v>96</v>
      </c>
      <c r="E103" s="1" t="s">
        <v>117</v>
      </c>
      <c r="J103" s="1" t="s">
        <v>28</v>
      </c>
      <c r="M103" s="38"/>
    </row>
    <row r="104">
      <c r="A104" s="1" t="s">
        <v>449</v>
      </c>
      <c r="B104" s="1">
        <v>14.0</v>
      </c>
      <c r="C104" s="1">
        <v>193.0</v>
      </c>
      <c r="D104" s="1" t="s">
        <v>96</v>
      </c>
      <c r="E104" s="1" t="s">
        <v>117</v>
      </c>
      <c r="J104" s="1" t="s">
        <v>28</v>
      </c>
      <c r="M104" s="38"/>
    </row>
    <row r="105">
      <c r="B105" s="1">
        <v>23.0</v>
      </c>
      <c r="C105" s="1">
        <v>0.0</v>
      </c>
      <c r="D105" s="1" t="s">
        <v>96</v>
      </c>
      <c r="E105" s="1" t="s">
        <v>133</v>
      </c>
      <c r="J105" s="1" t="s">
        <v>29</v>
      </c>
      <c r="M105" s="38"/>
    </row>
    <row r="106">
      <c r="B106" s="1">
        <v>24.0</v>
      </c>
      <c r="C106" s="1">
        <v>0.0</v>
      </c>
      <c r="D106" s="1" t="s">
        <v>96</v>
      </c>
      <c r="E106" s="1" t="s">
        <v>133</v>
      </c>
      <c r="J106" s="1" t="s">
        <v>32</v>
      </c>
      <c r="M106" s="38"/>
    </row>
    <row r="107">
      <c r="B107" s="1">
        <v>24.0</v>
      </c>
      <c r="C107" s="1">
        <v>0.0</v>
      </c>
      <c r="D107" s="1" t="s">
        <v>96</v>
      </c>
      <c r="E107" s="1" t="s">
        <v>133</v>
      </c>
      <c r="J107" s="1" t="s">
        <v>39</v>
      </c>
      <c r="M107" s="38"/>
    </row>
    <row r="108">
      <c r="B108" s="1">
        <v>24.0</v>
      </c>
      <c r="C108" s="1">
        <v>0.0</v>
      </c>
      <c r="D108" s="1" t="s">
        <v>96</v>
      </c>
      <c r="E108" s="1" t="s">
        <v>133</v>
      </c>
      <c r="J108" s="1" t="s">
        <v>42</v>
      </c>
      <c r="M108" s="38"/>
    </row>
    <row r="109">
      <c r="B109" s="1">
        <v>12.0</v>
      </c>
      <c r="C109" s="1">
        <v>0.0</v>
      </c>
      <c r="D109" s="1" t="s">
        <v>96</v>
      </c>
      <c r="E109" s="1" t="s">
        <v>156</v>
      </c>
      <c r="J109" s="1" t="s">
        <v>45</v>
      </c>
      <c r="M109" s="38"/>
    </row>
    <row r="110">
      <c r="B110" s="1">
        <v>9.0</v>
      </c>
      <c r="C110" s="1">
        <v>0.0</v>
      </c>
      <c r="D110" s="1" t="s">
        <v>96</v>
      </c>
      <c r="E110" s="1" t="s">
        <v>156</v>
      </c>
      <c r="J110" s="1" t="s">
        <v>45</v>
      </c>
      <c r="M110" s="38"/>
    </row>
    <row r="111">
      <c r="B111" s="1">
        <v>15.0</v>
      </c>
      <c r="C111" s="1">
        <v>0.0</v>
      </c>
      <c r="D111" s="1" t="s">
        <v>96</v>
      </c>
      <c r="E111" s="1" t="s">
        <v>156</v>
      </c>
      <c r="J111" s="1" t="s">
        <v>29</v>
      </c>
      <c r="M111" s="38"/>
    </row>
    <row r="112">
      <c r="B112" s="1">
        <v>15.0</v>
      </c>
      <c r="C112" s="1">
        <v>0.0</v>
      </c>
      <c r="D112" s="1" t="s">
        <v>96</v>
      </c>
      <c r="E112" s="1" t="s">
        <v>156</v>
      </c>
      <c r="J112" s="1" t="s">
        <v>15</v>
      </c>
      <c r="M112" s="38"/>
    </row>
    <row r="113">
      <c r="B113" s="1">
        <v>16.0</v>
      </c>
      <c r="C113" s="1">
        <v>0.0</v>
      </c>
      <c r="D113" s="1" t="s">
        <v>96</v>
      </c>
      <c r="E113" s="1" t="s">
        <v>156</v>
      </c>
      <c r="J113" s="1" t="s">
        <v>32</v>
      </c>
      <c r="M113" s="38"/>
    </row>
    <row r="114">
      <c r="B114" s="1">
        <v>16.0</v>
      </c>
      <c r="C114" s="1">
        <v>0.0</v>
      </c>
      <c r="D114" s="1" t="s">
        <v>96</v>
      </c>
      <c r="E114" s="1" t="s">
        <v>156</v>
      </c>
      <c r="J114" s="1" t="s">
        <v>20</v>
      </c>
      <c r="M114" s="38"/>
    </row>
    <row r="115">
      <c r="B115" s="1">
        <v>21.0</v>
      </c>
      <c r="C115" s="1">
        <v>0.0</v>
      </c>
      <c r="D115" s="1" t="s">
        <v>96</v>
      </c>
      <c r="E115" s="1" t="s">
        <v>156</v>
      </c>
      <c r="J115" s="1" t="s">
        <v>45</v>
      </c>
      <c r="M115" s="38"/>
    </row>
    <row r="116">
      <c r="B116" s="1">
        <v>27.0</v>
      </c>
      <c r="C116" s="1">
        <v>0.0</v>
      </c>
      <c r="D116" s="1" t="s">
        <v>96</v>
      </c>
      <c r="E116" s="1" t="s">
        <v>156</v>
      </c>
      <c r="J116" s="1" t="s">
        <v>45</v>
      </c>
      <c r="M116" s="38"/>
    </row>
    <row r="117">
      <c r="B117" s="1">
        <v>29.0</v>
      </c>
      <c r="C117" s="1">
        <v>0.0</v>
      </c>
      <c r="D117" s="1" t="s">
        <v>96</v>
      </c>
      <c r="E117" s="1" t="s">
        <v>156</v>
      </c>
      <c r="J117" s="1" t="s">
        <v>20</v>
      </c>
      <c r="M117" s="38"/>
    </row>
    <row r="118">
      <c r="B118" s="1">
        <v>28.0</v>
      </c>
      <c r="C118" s="1">
        <v>0.0</v>
      </c>
      <c r="D118" s="1"/>
      <c r="E118" s="1" t="s">
        <v>117</v>
      </c>
      <c r="J118" s="1"/>
      <c r="M118" s="38"/>
    </row>
    <row r="119">
      <c r="A119" s="1"/>
      <c r="B119" s="1"/>
      <c r="C119" s="1"/>
      <c r="J119" s="14"/>
      <c r="M119" s="38"/>
    </row>
    <row r="120">
      <c r="A120" s="1" t="s">
        <v>236</v>
      </c>
      <c r="C120" s="1">
        <f>('Resumo 2023'!C68)*0.3-(250)</f>
        <v>2899.115</v>
      </c>
      <c r="M120" s="38"/>
    </row>
    <row r="121">
      <c r="A121" s="1" t="s">
        <v>50</v>
      </c>
      <c r="C121" s="8">
        <f>SUM(C2:C118)</f>
        <v>10581.7</v>
      </c>
      <c r="D121" s="8">
        <f>('Resumo 2023'!AA68)-C121-C120</f>
        <v>-2983.765</v>
      </c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E132" s="43" t="s">
        <v>239</v>
      </c>
      <c r="F132" s="44">
        <f>SUMIF(D2:D118,"pg",C2:C118)</f>
        <v>9415.17</v>
      </c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6" t="s">
        <v>240</v>
      </c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  <row r="1038">
      <c r="M1038" s="38"/>
    </row>
    <row r="1039">
      <c r="M1039" s="38"/>
    </row>
    <row r="1040">
      <c r="M1040" s="38"/>
    </row>
    <row r="1041">
      <c r="M1041" s="38"/>
    </row>
    <row r="1042">
      <c r="M1042" s="38"/>
    </row>
    <row r="1043">
      <c r="M1043" s="38"/>
    </row>
    <row r="1044">
      <c r="M1044" s="38"/>
    </row>
    <row r="1045">
      <c r="M1045" s="38"/>
    </row>
    <row r="1046">
      <c r="M1046" s="38"/>
    </row>
    <row r="1047">
      <c r="M1047" s="38"/>
    </row>
    <row r="1048">
      <c r="M1048" s="38"/>
    </row>
  </sheetData>
  <autoFilter ref="$A$1:$BV$118"/>
  <conditionalFormatting sqref="B171">
    <cfRule type="cellIs" dxfId="1" priority="1" operator="greaterThanOrEqual">
      <formula>0</formula>
    </cfRule>
  </conditionalFormatting>
  <conditionalFormatting sqref="B171">
    <cfRule type="cellIs" dxfId="2" priority="2" operator="lessThan">
      <formula>0</formula>
    </cfRule>
  </conditionalFormatting>
  <dataValidations>
    <dataValidation type="list" allowBlank="1" showErrorMessage="1" sqref="J2:J119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veicular,ferias,projetos,dentista,pix aline,painel solar,reforma casa,boleto"</formula1>
    </dataValidation>
  </dataValidation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14.63"/>
    <col customWidth="1" min="5" max="5" width="16.38"/>
  </cols>
  <sheetData>
    <row r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685.78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104</v>
      </c>
      <c r="B4" s="1">
        <v>5.0</v>
      </c>
      <c r="C4" s="37">
        <v>140.0</v>
      </c>
      <c r="D4" s="1" t="s">
        <v>112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>
      <c r="A5" s="2" t="s">
        <v>106</v>
      </c>
      <c r="B5" s="2">
        <v>14.0</v>
      </c>
      <c r="C5" s="40">
        <v>356.67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132.76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113</v>
      </c>
      <c r="B7" s="1">
        <v>25.0</v>
      </c>
      <c r="C7" s="37">
        <v>99.9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96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5.0</v>
      </c>
      <c r="C10" s="37">
        <v>166.0</v>
      </c>
      <c r="D10" s="1" t="s">
        <v>96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24.9</v>
      </c>
      <c r="D11" s="1" t="s">
        <v>96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0.0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96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244.12</v>
      </c>
      <c r="D15" s="1" t="s">
        <v>96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  <c r="N16" s="42">
        <v>45992.0</v>
      </c>
    </row>
    <row r="17">
      <c r="A17" s="1" t="s">
        <v>130</v>
      </c>
      <c r="B17" s="1">
        <v>27.0</v>
      </c>
      <c r="C17" s="37">
        <f>89.9+139.9</f>
        <v>229.8</v>
      </c>
      <c r="D17" s="1" t="s">
        <v>96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17.0</v>
      </c>
      <c r="C18" s="37">
        <v>20.0</v>
      </c>
      <c r="D18" s="1" t="s">
        <v>96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264</v>
      </c>
      <c r="B19" s="1">
        <v>2.0</v>
      </c>
      <c r="C19" s="1">
        <v>5.0</v>
      </c>
      <c r="D19" s="1" t="s">
        <v>96</v>
      </c>
      <c r="E19" s="1" t="s">
        <v>132</v>
      </c>
      <c r="G19" s="1" t="s">
        <v>98</v>
      </c>
      <c r="H19" s="1" t="s">
        <v>109</v>
      </c>
      <c r="J19" s="1" t="s">
        <v>20</v>
      </c>
      <c r="M19" s="38"/>
    </row>
    <row r="20">
      <c r="A20" s="1" t="s">
        <v>450</v>
      </c>
      <c r="B20" s="1">
        <v>2.0</v>
      </c>
      <c r="C20" s="1">
        <v>10.0</v>
      </c>
      <c r="D20" s="1" t="s">
        <v>96</v>
      </c>
      <c r="E20" s="1" t="s">
        <v>132</v>
      </c>
      <c r="G20" s="1" t="s">
        <v>98</v>
      </c>
      <c r="H20" s="1" t="s">
        <v>109</v>
      </c>
      <c r="J20" s="1" t="s">
        <v>32</v>
      </c>
      <c r="M20" s="38"/>
    </row>
    <row r="21">
      <c r="A21" s="1" t="s">
        <v>451</v>
      </c>
      <c r="B21" s="1">
        <v>6.0</v>
      </c>
      <c r="C21" s="1">
        <v>9.0</v>
      </c>
      <c r="D21" s="1" t="s">
        <v>96</v>
      </c>
      <c r="E21" s="1" t="s">
        <v>132</v>
      </c>
      <c r="G21" s="1" t="s">
        <v>98</v>
      </c>
      <c r="H21" s="1" t="s">
        <v>109</v>
      </c>
      <c r="J21" s="1" t="s">
        <v>44</v>
      </c>
      <c r="M21" s="38"/>
    </row>
    <row r="22">
      <c r="A22" s="1" t="s">
        <v>452</v>
      </c>
      <c r="B22" s="1">
        <v>9.0</v>
      </c>
      <c r="C22" s="1">
        <v>6.2</v>
      </c>
      <c r="D22" s="1" t="s">
        <v>96</v>
      </c>
      <c r="E22" s="1" t="s">
        <v>132</v>
      </c>
      <c r="G22" s="1" t="s">
        <v>98</v>
      </c>
      <c r="H22" s="1" t="s">
        <v>109</v>
      </c>
      <c r="J22" s="1" t="s">
        <v>20</v>
      </c>
      <c r="M22" s="38"/>
    </row>
    <row r="23">
      <c r="A23" s="1" t="s">
        <v>453</v>
      </c>
      <c r="B23" s="1">
        <v>9.0</v>
      </c>
      <c r="C23" s="1">
        <v>20.0</v>
      </c>
      <c r="D23" s="1" t="s">
        <v>96</v>
      </c>
      <c r="E23" s="1" t="s">
        <v>132</v>
      </c>
      <c r="G23" s="1" t="s">
        <v>98</v>
      </c>
      <c r="H23" s="1" t="s">
        <v>109</v>
      </c>
      <c r="J23" s="1" t="s">
        <v>21</v>
      </c>
      <c r="K23" s="42"/>
      <c r="M23" s="38"/>
    </row>
    <row r="24">
      <c r="A24" s="1" t="s">
        <v>454</v>
      </c>
      <c r="B24" s="1">
        <v>9.0</v>
      </c>
      <c r="C24" s="1">
        <v>30.0</v>
      </c>
      <c r="D24" s="1" t="s">
        <v>96</v>
      </c>
      <c r="E24" s="1" t="s">
        <v>132</v>
      </c>
      <c r="G24" s="1" t="s">
        <v>98</v>
      </c>
      <c r="H24" s="1" t="s">
        <v>109</v>
      </c>
      <c r="J24" s="1" t="s">
        <v>21</v>
      </c>
      <c r="M24" s="38"/>
      <c r="N24" s="42">
        <v>45324.0</v>
      </c>
    </row>
    <row r="25">
      <c r="A25" s="1" t="s">
        <v>455</v>
      </c>
      <c r="B25" s="1">
        <v>9.0</v>
      </c>
      <c r="C25" s="1">
        <v>380.12</v>
      </c>
      <c r="D25" s="1" t="s">
        <v>96</v>
      </c>
      <c r="E25" s="1" t="s">
        <v>132</v>
      </c>
      <c r="G25" s="1" t="s">
        <v>98</v>
      </c>
      <c r="H25" s="1" t="s">
        <v>109</v>
      </c>
      <c r="J25" s="1" t="s">
        <v>16</v>
      </c>
      <c r="M25" s="38"/>
    </row>
    <row r="26">
      <c r="A26" s="1" t="s">
        <v>456</v>
      </c>
      <c r="B26" s="1">
        <v>13.0</v>
      </c>
      <c r="C26" s="1">
        <v>3.06</v>
      </c>
      <c r="D26" s="1" t="s">
        <v>96</v>
      </c>
      <c r="E26" s="1" t="s">
        <v>132</v>
      </c>
      <c r="G26" s="1" t="s">
        <v>98</v>
      </c>
      <c r="J26" s="1" t="s">
        <v>29</v>
      </c>
      <c r="M26" s="38"/>
      <c r="N26" s="42">
        <v>45354.0</v>
      </c>
    </row>
    <row r="27">
      <c r="A27" s="1" t="s">
        <v>457</v>
      </c>
      <c r="B27" s="1">
        <v>16.0</v>
      </c>
      <c r="C27" s="1">
        <v>6.2</v>
      </c>
      <c r="D27" s="1" t="s">
        <v>96</v>
      </c>
      <c r="E27" s="1" t="s">
        <v>132</v>
      </c>
      <c r="G27" s="1" t="s">
        <v>98</v>
      </c>
      <c r="H27" s="1" t="s">
        <v>109</v>
      </c>
      <c r="J27" s="1" t="s">
        <v>20</v>
      </c>
      <c r="M27" s="38"/>
    </row>
    <row r="28">
      <c r="A28" s="1" t="s">
        <v>264</v>
      </c>
      <c r="B28" s="1">
        <v>16.0</v>
      </c>
      <c r="C28" s="1">
        <v>5.0</v>
      </c>
      <c r="D28" s="1" t="s">
        <v>96</v>
      </c>
      <c r="E28" s="1" t="s">
        <v>132</v>
      </c>
      <c r="G28" s="1" t="s">
        <v>98</v>
      </c>
      <c r="J28" s="1" t="s">
        <v>20</v>
      </c>
      <c r="M28" s="38"/>
    </row>
    <row r="29">
      <c r="A29" s="1" t="s">
        <v>458</v>
      </c>
      <c r="B29" s="1">
        <v>16.0</v>
      </c>
      <c r="C29" s="1">
        <v>4.0</v>
      </c>
      <c r="D29" s="1" t="s">
        <v>96</v>
      </c>
      <c r="E29" s="1" t="s">
        <v>132</v>
      </c>
      <c r="G29" s="1" t="s">
        <v>98</v>
      </c>
      <c r="J29" s="1" t="s">
        <v>34</v>
      </c>
      <c r="M29" s="38"/>
      <c r="N29" s="42">
        <v>45872.0</v>
      </c>
    </row>
    <row r="30">
      <c r="A30" s="1" t="s">
        <v>459</v>
      </c>
      <c r="B30" s="1">
        <v>17.0</v>
      </c>
      <c r="C30" s="1">
        <v>5.0</v>
      </c>
      <c r="D30" s="1" t="s">
        <v>96</v>
      </c>
      <c r="E30" s="1" t="s">
        <v>132</v>
      </c>
      <c r="G30" s="1" t="s">
        <v>98</v>
      </c>
      <c r="J30" s="1" t="s">
        <v>20</v>
      </c>
      <c r="M30" s="38"/>
      <c r="N30" s="42">
        <v>45993.0</v>
      </c>
    </row>
    <row r="31">
      <c r="A31" s="1" t="s">
        <v>451</v>
      </c>
      <c r="B31" s="1">
        <v>18.0</v>
      </c>
      <c r="C31" s="1">
        <v>4.8</v>
      </c>
      <c r="D31" s="1" t="s">
        <v>96</v>
      </c>
      <c r="E31" s="1" t="s">
        <v>132</v>
      </c>
      <c r="G31" s="1" t="s">
        <v>118</v>
      </c>
      <c r="H31" s="1" t="s">
        <v>109</v>
      </c>
      <c r="J31" s="1" t="s">
        <v>44</v>
      </c>
      <c r="M31" s="38"/>
    </row>
    <row r="32">
      <c r="A32" s="1" t="s">
        <v>460</v>
      </c>
      <c r="B32" s="1">
        <v>20.0</v>
      </c>
      <c r="C32" s="1">
        <v>60.0</v>
      </c>
      <c r="D32" s="1" t="s">
        <v>96</v>
      </c>
      <c r="E32" s="1" t="s">
        <v>132</v>
      </c>
      <c r="G32" s="1" t="s">
        <v>98</v>
      </c>
      <c r="J32" s="1" t="s">
        <v>32</v>
      </c>
      <c r="M32" s="38"/>
    </row>
    <row r="33">
      <c r="A33" s="1" t="s">
        <v>461</v>
      </c>
      <c r="B33" s="1">
        <v>20.0</v>
      </c>
      <c r="C33" s="1">
        <v>133.0</v>
      </c>
      <c r="D33" s="1" t="s">
        <v>96</v>
      </c>
      <c r="E33" s="1" t="s">
        <v>132</v>
      </c>
      <c r="G33" s="1" t="s">
        <v>98</v>
      </c>
      <c r="J33" s="1" t="s">
        <v>32</v>
      </c>
      <c r="M33" s="38"/>
    </row>
    <row r="34">
      <c r="A34" s="1" t="s">
        <v>304</v>
      </c>
      <c r="B34" s="1">
        <v>26.0</v>
      </c>
      <c r="C34" s="1">
        <v>51.93</v>
      </c>
      <c r="D34" s="1" t="s">
        <v>96</v>
      </c>
      <c r="E34" s="1" t="s">
        <v>117</v>
      </c>
      <c r="G34" s="1" t="s">
        <v>98</v>
      </c>
      <c r="J34" s="1" t="s">
        <v>28</v>
      </c>
      <c r="M34" s="38"/>
    </row>
    <row r="35">
      <c r="A35" s="1" t="s">
        <v>462</v>
      </c>
      <c r="B35" s="1">
        <v>19.0</v>
      </c>
      <c r="C35" s="1">
        <v>114.62</v>
      </c>
      <c r="D35" s="1" t="s">
        <v>96</v>
      </c>
      <c r="E35" s="1" t="s">
        <v>117</v>
      </c>
      <c r="G35" s="1" t="s">
        <v>98</v>
      </c>
      <c r="J35" s="1" t="s">
        <v>32</v>
      </c>
      <c r="M35" s="38"/>
    </row>
    <row r="36">
      <c r="A36" s="1" t="s">
        <v>463</v>
      </c>
      <c r="B36" s="1">
        <v>16.0</v>
      </c>
      <c r="C36" s="1">
        <v>309.28</v>
      </c>
      <c r="D36" s="1" t="s">
        <v>96</v>
      </c>
      <c r="E36" s="1" t="s">
        <v>117</v>
      </c>
      <c r="G36" s="1" t="s">
        <v>98</v>
      </c>
      <c r="J36" s="1" t="s">
        <v>15</v>
      </c>
      <c r="M36" s="38"/>
    </row>
    <row r="37">
      <c r="A37" s="1" t="s">
        <v>329</v>
      </c>
      <c r="B37" s="1">
        <v>28.0</v>
      </c>
      <c r="C37" s="1">
        <v>15.0</v>
      </c>
      <c r="D37" s="1" t="s">
        <v>96</v>
      </c>
      <c r="E37" s="1" t="s">
        <v>132</v>
      </c>
      <c r="G37" s="1" t="s">
        <v>98</v>
      </c>
      <c r="J37" s="1" t="s">
        <v>34</v>
      </c>
      <c r="M37" s="38"/>
    </row>
    <row r="38">
      <c r="A38" s="1" t="s">
        <v>135</v>
      </c>
      <c r="B38" s="1">
        <v>14.0</v>
      </c>
      <c r="C38" s="1">
        <v>65.0</v>
      </c>
      <c r="D38" s="1" t="s">
        <v>96</v>
      </c>
      <c r="E38" s="1" t="s">
        <v>132</v>
      </c>
      <c r="G38" s="1" t="s">
        <v>98</v>
      </c>
      <c r="J38" s="1" t="s">
        <v>34</v>
      </c>
      <c r="M38" s="36" t="s">
        <v>43</v>
      </c>
    </row>
    <row r="39">
      <c r="A39" s="1" t="s">
        <v>464</v>
      </c>
      <c r="B39" s="1">
        <v>6.0</v>
      </c>
      <c r="C39" s="1">
        <v>328.55</v>
      </c>
      <c r="D39" s="1" t="s">
        <v>96</v>
      </c>
      <c r="E39" s="1" t="s">
        <v>133</v>
      </c>
      <c r="G39" s="1" t="s">
        <v>98</v>
      </c>
      <c r="J39" s="1" t="s">
        <v>48</v>
      </c>
      <c r="M39" s="38"/>
    </row>
    <row r="40">
      <c r="A40" s="1" t="s">
        <v>465</v>
      </c>
      <c r="B40" s="1">
        <v>17.0</v>
      </c>
      <c r="C40" s="1">
        <v>777.56</v>
      </c>
      <c r="D40" s="1" t="s">
        <v>96</v>
      </c>
      <c r="E40" s="1" t="s">
        <v>133</v>
      </c>
      <c r="G40" s="1" t="s">
        <v>98</v>
      </c>
      <c r="J40" s="1" t="s">
        <v>46</v>
      </c>
      <c r="M40" s="38"/>
    </row>
    <row r="41">
      <c r="A41" s="1" t="s">
        <v>308</v>
      </c>
      <c r="B41" s="1">
        <v>0.0</v>
      </c>
      <c r="C41" s="1">
        <v>69.8</v>
      </c>
      <c r="D41" s="1" t="s">
        <v>96</v>
      </c>
      <c r="E41" s="1" t="s">
        <v>133</v>
      </c>
      <c r="G41" s="1" t="s">
        <v>98</v>
      </c>
      <c r="J41" s="1" t="s">
        <v>34</v>
      </c>
      <c r="M41" s="38"/>
    </row>
    <row r="42">
      <c r="A42" s="1" t="s">
        <v>154</v>
      </c>
      <c r="B42" s="1">
        <v>0.0</v>
      </c>
      <c r="C42" s="1">
        <v>4.0</v>
      </c>
      <c r="D42" s="1" t="s">
        <v>96</v>
      </c>
      <c r="E42" s="1" t="s">
        <v>133</v>
      </c>
      <c r="G42" s="1" t="s">
        <v>98</v>
      </c>
      <c r="J42" s="1" t="s">
        <v>39</v>
      </c>
      <c r="L42" s="42"/>
      <c r="M42" s="38"/>
    </row>
    <row r="43">
      <c r="A43" s="1" t="s">
        <v>466</v>
      </c>
      <c r="B43" s="1">
        <v>0.0</v>
      </c>
      <c r="C43" s="1">
        <v>10.2</v>
      </c>
      <c r="D43" s="1" t="s">
        <v>96</v>
      </c>
      <c r="E43" s="1" t="s">
        <v>133</v>
      </c>
      <c r="G43" s="1" t="s">
        <v>98</v>
      </c>
      <c r="J43" s="1" t="s">
        <v>24</v>
      </c>
      <c r="M43" s="38"/>
    </row>
    <row r="44">
      <c r="A44" s="1" t="s">
        <v>467</v>
      </c>
      <c r="B44" s="1">
        <v>0.0</v>
      </c>
      <c r="C44" s="1">
        <v>40.0</v>
      </c>
      <c r="D44" s="1" t="s">
        <v>96</v>
      </c>
      <c r="E44" s="1" t="s">
        <v>133</v>
      </c>
      <c r="G44" s="1" t="s">
        <v>98</v>
      </c>
      <c r="J44" s="1" t="s">
        <v>18</v>
      </c>
      <c r="M44" s="38"/>
    </row>
    <row r="45">
      <c r="A45" s="1" t="s">
        <v>468</v>
      </c>
      <c r="B45" s="1">
        <v>0.0</v>
      </c>
      <c r="C45" s="1">
        <v>56.8</v>
      </c>
      <c r="D45" s="1" t="s">
        <v>96</v>
      </c>
      <c r="E45" s="1" t="s">
        <v>133</v>
      </c>
      <c r="G45" s="1" t="s">
        <v>98</v>
      </c>
      <c r="J45" s="1" t="s">
        <v>34</v>
      </c>
      <c r="M45" s="38"/>
    </row>
    <row r="46">
      <c r="A46" s="1" t="s">
        <v>247</v>
      </c>
      <c r="B46" s="1">
        <v>0.0</v>
      </c>
      <c r="C46" s="1">
        <v>74.65</v>
      </c>
      <c r="D46" s="1" t="s">
        <v>96</v>
      </c>
      <c r="E46" s="1" t="s">
        <v>133</v>
      </c>
      <c r="G46" s="1" t="s">
        <v>98</v>
      </c>
      <c r="J46" s="1" t="s">
        <v>29</v>
      </c>
      <c r="M46" s="38"/>
    </row>
    <row r="47">
      <c r="A47" s="1" t="s">
        <v>154</v>
      </c>
      <c r="B47" s="1">
        <v>0.0</v>
      </c>
      <c r="C47" s="1">
        <v>4.0</v>
      </c>
      <c r="D47" s="1" t="s">
        <v>96</v>
      </c>
      <c r="E47" s="1" t="s">
        <v>133</v>
      </c>
      <c r="G47" s="1" t="s">
        <v>98</v>
      </c>
      <c r="J47" s="1" t="s">
        <v>39</v>
      </c>
      <c r="M47" s="38"/>
    </row>
    <row r="48">
      <c r="A48" s="1" t="s">
        <v>469</v>
      </c>
      <c r="B48" s="1">
        <v>0.0</v>
      </c>
      <c r="C48" s="1">
        <v>65.03</v>
      </c>
      <c r="D48" s="1" t="s">
        <v>96</v>
      </c>
      <c r="E48" s="1" t="s">
        <v>133</v>
      </c>
      <c r="G48" s="1" t="s">
        <v>98</v>
      </c>
      <c r="J48" s="1" t="s">
        <v>18</v>
      </c>
      <c r="M48" s="38"/>
    </row>
    <row r="49">
      <c r="A49" s="1" t="s">
        <v>470</v>
      </c>
      <c r="B49" s="1">
        <v>0.0</v>
      </c>
      <c r="C49" s="1">
        <v>74.16</v>
      </c>
      <c r="D49" s="1" t="s">
        <v>96</v>
      </c>
      <c r="E49" s="1" t="s">
        <v>133</v>
      </c>
      <c r="G49" s="1" t="s">
        <v>98</v>
      </c>
      <c r="J49" s="1" t="s">
        <v>34</v>
      </c>
      <c r="M49" s="38"/>
    </row>
    <row r="50">
      <c r="A50" s="1" t="s">
        <v>233</v>
      </c>
      <c r="B50" s="1">
        <v>0.0</v>
      </c>
      <c r="C50" s="1">
        <v>461.53</v>
      </c>
      <c r="D50" s="1" t="s">
        <v>96</v>
      </c>
      <c r="E50" s="1" t="s">
        <v>133</v>
      </c>
      <c r="G50" s="1" t="s">
        <v>98</v>
      </c>
      <c r="J50" s="1" t="s">
        <v>28</v>
      </c>
      <c r="M50" s="38"/>
    </row>
    <row r="51">
      <c r="A51" s="1" t="s">
        <v>25</v>
      </c>
      <c r="B51" s="1">
        <v>0.0</v>
      </c>
      <c r="C51" s="1">
        <v>49.98</v>
      </c>
      <c r="D51" s="1" t="s">
        <v>96</v>
      </c>
      <c r="E51" s="1" t="s">
        <v>133</v>
      </c>
      <c r="G51" s="1" t="s">
        <v>98</v>
      </c>
      <c r="J51" s="1" t="s">
        <v>25</v>
      </c>
      <c r="M51" s="38"/>
    </row>
    <row r="52">
      <c r="A52" s="1" t="s">
        <v>385</v>
      </c>
      <c r="B52" s="1">
        <v>0.0</v>
      </c>
      <c r="C52" s="1">
        <v>15.97</v>
      </c>
      <c r="D52" s="1" t="s">
        <v>96</v>
      </c>
      <c r="E52" s="1" t="s">
        <v>133</v>
      </c>
      <c r="G52" s="1" t="s">
        <v>98</v>
      </c>
      <c r="J52" s="1" t="s">
        <v>29</v>
      </c>
      <c r="M52" s="38"/>
    </row>
    <row r="53">
      <c r="A53" s="1" t="s">
        <v>248</v>
      </c>
      <c r="B53" s="1">
        <v>1.0</v>
      </c>
      <c r="C53" s="1">
        <v>10.0</v>
      </c>
      <c r="D53" s="1" t="s">
        <v>96</v>
      </c>
      <c r="E53" s="1" t="s">
        <v>133</v>
      </c>
      <c r="G53" s="1" t="s">
        <v>98</v>
      </c>
      <c r="J53" s="1" t="s">
        <v>34</v>
      </c>
      <c r="M53" s="38"/>
    </row>
    <row r="54">
      <c r="A54" s="45" t="s">
        <v>471</v>
      </c>
      <c r="B54" s="1">
        <v>1.0</v>
      </c>
      <c r="C54" s="1">
        <v>9.84</v>
      </c>
      <c r="D54" s="1" t="s">
        <v>96</v>
      </c>
      <c r="E54" s="1" t="s">
        <v>133</v>
      </c>
      <c r="G54" s="1" t="s">
        <v>98</v>
      </c>
      <c r="J54" s="1" t="s">
        <v>32</v>
      </c>
      <c r="M54" s="38"/>
    </row>
    <row r="55">
      <c r="A55" s="1" t="s">
        <v>154</v>
      </c>
      <c r="B55" s="1">
        <v>2.0</v>
      </c>
      <c r="C55" s="1">
        <v>9.0</v>
      </c>
      <c r="D55" s="1" t="s">
        <v>96</v>
      </c>
      <c r="E55" s="1" t="s">
        <v>132</v>
      </c>
      <c r="G55" s="1"/>
      <c r="J55" s="1" t="s">
        <v>39</v>
      </c>
      <c r="M55" s="38"/>
    </row>
    <row r="56">
      <c r="A56" s="1" t="s">
        <v>333</v>
      </c>
      <c r="B56" s="1">
        <v>2.0</v>
      </c>
      <c r="C56" s="1">
        <v>24.0</v>
      </c>
      <c r="D56" s="1" t="s">
        <v>96</v>
      </c>
      <c r="E56" s="1" t="s">
        <v>133</v>
      </c>
      <c r="G56" s="1"/>
      <c r="J56" s="1" t="s">
        <v>24</v>
      </c>
      <c r="M56" s="38"/>
    </row>
    <row r="57">
      <c r="A57" s="1" t="s">
        <v>472</v>
      </c>
      <c r="B57" s="1">
        <v>2.0</v>
      </c>
      <c r="C57" s="1">
        <v>0.34</v>
      </c>
      <c r="D57" s="1" t="s">
        <v>96</v>
      </c>
      <c r="E57" s="1" t="s">
        <v>133</v>
      </c>
      <c r="G57" s="1"/>
      <c r="J57" s="1" t="s">
        <v>32</v>
      </c>
      <c r="M57" s="38"/>
    </row>
    <row r="58">
      <c r="A58" s="1" t="s">
        <v>473</v>
      </c>
      <c r="B58" s="1">
        <v>3.0</v>
      </c>
      <c r="C58" s="1">
        <v>27.75</v>
      </c>
      <c r="D58" s="1" t="s">
        <v>96</v>
      </c>
      <c r="E58" s="1" t="s">
        <v>133</v>
      </c>
      <c r="G58" s="1"/>
      <c r="J58" s="1" t="s">
        <v>24</v>
      </c>
      <c r="M58" s="38"/>
    </row>
    <row r="59">
      <c r="A59" s="1" t="s">
        <v>154</v>
      </c>
      <c r="B59" s="1">
        <v>4.0</v>
      </c>
      <c r="C59" s="1">
        <v>4.0</v>
      </c>
      <c r="D59" s="1" t="s">
        <v>96</v>
      </c>
      <c r="E59" s="1" t="s">
        <v>133</v>
      </c>
      <c r="G59" s="1"/>
      <c r="J59" s="1" t="s">
        <v>39</v>
      </c>
      <c r="M59" s="38"/>
    </row>
    <row r="60">
      <c r="A60" s="1" t="s">
        <v>311</v>
      </c>
      <c r="B60" s="1">
        <v>5.0</v>
      </c>
      <c r="C60" s="1">
        <v>23.48</v>
      </c>
      <c r="D60" s="1" t="s">
        <v>96</v>
      </c>
      <c r="E60" s="1" t="s">
        <v>133</v>
      </c>
      <c r="G60" s="1"/>
      <c r="J60" s="1" t="s">
        <v>24</v>
      </c>
      <c r="M60" s="38"/>
    </row>
    <row r="61">
      <c r="A61" s="1" t="s">
        <v>474</v>
      </c>
      <c r="B61" s="1">
        <v>6.0</v>
      </c>
      <c r="C61" s="1">
        <v>70.0</v>
      </c>
      <c r="D61" s="1" t="s">
        <v>96</v>
      </c>
      <c r="E61" s="1" t="s">
        <v>133</v>
      </c>
      <c r="G61" s="1"/>
      <c r="J61" s="1" t="s">
        <v>32</v>
      </c>
      <c r="M61" s="38"/>
    </row>
    <row r="62">
      <c r="A62" s="1" t="s">
        <v>154</v>
      </c>
      <c r="B62" s="1">
        <v>6.0</v>
      </c>
      <c r="C62" s="1">
        <v>4.4</v>
      </c>
      <c r="D62" s="1" t="s">
        <v>96</v>
      </c>
      <c r="E62" s="1" t="s">
        <v>133</v>
      </c>
      <c r="G62" s="1"/>
      <c r="J62" s="1" t="s">
        <v>39</v>
      </c>
      <c r="M62" s="38"/>
    </row>
    <row r="63">
      <c r="A63" s="1" t="s">
        <v>469</v>
      </c>
      <c r="B63" s="1">
        <v>6.0</v>
      </c>
      <c r="C63" s="1">
        <v>60.9</v>
      </c>
      <c r="D63" s="1" t="s">
        <v>96</v>
      </c>
      <c r="E63" s="1" t="s">
        <v>133</v>
      </c>
      <c r="G63" s="1"/>
      <c r="J63" s="1" t="s">
        <v>18</v>
      </c>
      <c r="M63" s="38"/>
    </row>
    <row r="64">
      <c r="A64" s="1" t="s">
        <v>475</v>
      </c>
      <c r="B64" s="1">
        <v>6.0</v>
      </c>
      <c r="C64" s="1">
        <v>280.89</v>
      </c>
      <c r="D64" s="1" t="s">
        <v>96</v>
      </c>
      <c r="E64" s="1" t="s">
        <v>133</v>
      </c>
      <c r="G64" s="1"/>
      <c r="J64" s="1" t="s">
        <v>15</v>
      </c>
      <c r="M64" s="36" t="s">
        <v>476</v>
      </c>
    </row>
    <row r="65">
      <c r="A65" s="1" t="s">
        <v>477</v>
      </c>
      <c r="B65" s="1">
        <v>7.0</v>
      </c>
      <c r="C65" s="1">
        <v>40.0</v>
      </c>
      <c r="D65" s="1" t="s">
        <v>96</v>
      </c>
      <c r="E65" s="1" t="s">
        <v>133</v>
      </c>
      <c r="G65" s="1"/>
      <c r="J65" s="1" t="s">
        <v>30</v>
      </c>
      <c r="L65" s="42"/>
      <c r="M65" s="36" t="s">
        <v>476</v>
      </c>
    </row>
    <row r="66">
      <c r="A66" s="1" t="s">
        <v>478</v>
      </c>
      <c r="B66" s="1">
        <v>7.0</v>
      </c>
      <c r="C66" s="1">
        <v>199.52</v>
      </c>
      <c r="D66" s="1" t="s">
        <v>96</v>
      </c>
      <c r="E66" s="1" t="s">
        <v>133</v>
      </c>
      <c r="G66" s="1"/>
      <c r="J66" s="1" t="s">
        <v>29</v>
      </c>
      <c r="M66" s="36" t="s">
        <v>476</v>
      </c>
    </row>
    <row r="67">
      <c r="A67" s="1" t="s">
        <v>263</v>
      </c>
      <c r="B67" s="1">
        <v>7.0</v>
      </c>
      <c r="C67" s="1">
        <v>103.9</v>
      </c>
      <c r="D67" s="1" t="s">
        <v>96</v>
      </c>
      <c r="E67" s="1" t="s">
        <v>133</v>
      </c>
      <c r="J67" s="1" t="s">
        <v>28</v>
      </c>
      <c r="M67" s="36" t="s">
        <v>476</v>
      </c>
    </row>
    <row r="68">
      <c r="A68" s="1" t="s">
        <v>479</v>
      </c>
      <c r="B68" s="1">
        <v>7.0</v>
      </c>
      <c r="C68" s="1">
        <v>49.54</v>
      </c>
      <c r="D68" s="1" t="s">
        <v>96</v>
      </c>
      <c r="E68" s="1" t="s">
        <v>133</v>
      </c>
      <c r="J68" s="1" t="s">
        <v>32</v>
      </c>
      <c r="M68" s="36" t="s">
        <v>476</v>
      </c>
    </row>
    <row r="69">
      <c r="A69" s="1" t="s">
        <v>437</v>
      </c>
      <c r="B69" s="1">
        <v>8.0</v>
      </c>
      <c r="C69" s="1">
        <v>85.0</v>
      </c>
      <c r="D69" s="1" t="s">
        <v>96</v>
      </c>
      <c r="E69" s="1" t="s">
        <v>133</v>
      </c>
      <c r="J69" s="1" t="s">
        <v>34</v>
      </c>
      <c r="M69" s="36" t="s">
        <v>476</v>
      </c>
    </row>
    <row r="70">
      <c r="A70" s="1" t="s">
        <v>154</v>
      </c>
      <c r="B70" s="1">
        <v>8.0</v>
      </c>
      <c r="C70" s="1">
        <v>10.9</v>
      </c>
      <c r="D70" s="1" t="s">
        <v>96</v>
      </c>
      <c r="E70" s="1" t="s">
        <v>133</v>
      </c>
      <c r="J70" s="1" t="s">
        <v>39</v>
      </c>
      <c r="M70" s="36" t="s">
        <v>476</v>
      </c>
    </row>
    <row r="71">
      <c r="A71" s="1" t="s">
        <v>480</v>
      </c>
      <c r="B71" s="1">
        <v>8.0</v>
      </c>
      <c r="C71" s="1">
        <v>138.27</v>
      </c>
      <c r="D71" s="1" t="s">
        <v>96</v>
      </c>
      <c r="E71" s="1" t="s">
        <v>133</v>
      </c>
      <c r="J71" s="1" t="s">
        <v>34</v>
      </c>
      <c r="M71" s="36" t="s">
        <v>476</v>
      </c>
    </row>
    <row r="72">
      <c r="A72" s="1" t="s">
        <v>481</v>
      </c>
      <c r="B72" s="1">
        <v>10.0</v>
      </c>
      <c r="C72" s="1">
        <v>14.98</v>
      </c>
      <c r="D72" s="1" t="s">
        <v>96</v>
      </c>
      <c r="E72" s="1" t="s">
        <v>133</v>
      </c>
      <c r="J72" s="1" t="s">
        <v>32</v>
      </c>
      <c r="K72" s="42"/>
      <c r="M72" s="36" t="s">
        <v>476</v>
      </c>
    </row>
    <row r="73">
      <c r="A73" s="1" t="s">
        <v>250</v>
      </c>
      <c r="B73" s="1">
        <v>10.0</v>
      </c>
      <c r="C73" s="1">
        <v>20.55</v>
      </c>
      <c r="D73" s="1" t="s">
        <v>96</v>
      </c>
      <c r="E73" s="1" t="s">
        <v>133</v>
      </c>
      <c r="J73" s="1" t="s">
        <v>24</v>
      </c>
      <c r="M73" s="36" t="s">
        <v>476</v>
      </c>
    </row>
    <row r="74">
      <c r="A74" s="1" t="s">
        <v>469</v>
      </c>
      <c r="B74" s="1">
        <v>11.0</v>
      </c>
      <c r="C74" s="1">
        <v>50.0</v>
      </c>
      <c r="D74" s="1" t="s">
        <v>96</v>
      </c>
      <c r="E74" s="1" t="s">
        <v>133</v>
      </c>
      <c r="J74" s="1" t="s">
        <v>18</v>
      </c>
      <c r="M74" s="36" t="s">
        <v>476</v>
      </c>
    </row>
    <row r="75">
      <c r="A75" s="1" t="s">
        <v>154</v>
      </c>
      <c r="B75" s="1">
        <v>12.0</v>
      </c>
      <c r="C75" s="1">
        <v>4.4</v>
      </c>
      <c r="D75" s="1" t="s">
        <v>96</v>
      </c>
      <c r="E75" s="1" t="s">
        <v>133</v>
      </c>
      <c r="J75" s="1" t="s">
        <v>39</v>
      </c>
      <c r="M75" s="36" t="s">
        <v>476</v>
      </c>
    </row>
    <row r="76">
      <c r="A76" s="1" t="s">
        <v>482</v>
      </c>
      <c r="B76" s="1">
        <v>12.0</v>
      </c>
      <c r="C76" s="1">
        <v>38.0</v>
      </c>
      <c r="D76" s="1" t="s">
        <v>96</v>
      </c>
      <c r="E76" s="1" t="s">
        <v>133</v>
      </c>
      <c r="J76" s="1" t="s">
        <v>34</v>
      </c>
      <c r="M76" s="36" t="s">
        <v>476</v>
      </c>
    </row>
    <row r="77">
      <c r="A77" s="1" t="s">
        <v>483</v>
      </c>
      <c r="B77" s="1">
        <v>12.0</v>
      </c>
      <c r="C77" s="1">
        <v>158.35</v>
      </c>
      <c r="D77" s="1" t="s">
        <v>96</v>
      </c>
      <c r="E77" s="1" t="s">
        <v>117</v>
      </c>
      <c r="J77" s="1" t="s">
        <v>29</v>
      </c>
      <c r="M77" s="36" t="s">
        <v>476</v>
      </c>
    </row>
    <row r="78">
      <c r="A78" s="1" t="s">
        <v>286</v>
      </c>
      <c r="B78" s="1">
        <v>13.0</v>
      </c>
      <c r="C78" s="1">
        <v>14.29</v>
      </c>
      <c r="D78" s="1" t="s">
        <v>96</v>
      </c>
      <c r="E78" s="1" t="s">
        <v>117</v>
      </c>
      <c r="J78" s="1" t="s">
        <v>24</v>
      </c>
      <c r="M78" s="36" t="s">
        <v>476</v>
      </c>
    </row>
    <row r="79">
      <c r="A79" s="1" t="s">
        <v>484</v>
      </c>
      <c r="B79" s="1">
        <v>13.0</v>
      </c>
      <c r="C79" s="1">
        <v>11.98</v>
      </c>
      <c r="D79" s="1" t="s">
        <v>96</v>
      </c>
      <c r="E79" s="1" t="s">
        <v>117</v>
      </c>
      <c r="J79" s="1" t="s">
        <v>29</v>
      </c>
      <c r="M79" s="36" t="s">
        <v>476</v>
      </c>
    </row>
    <row r="80">
      <c r="A80" s="1" t="s">
        <v>141</v>
      </c>
      <c r="B80" s="1">
        <v>14.0</v>
      </c>
      <c r="C80" s="1">
        <v>69.8</v>
      </c>
      <c r="D80" s="1" t="s">
        <v>96</v>
      </c>
      <c r="E80" s="1" t="s">
        <v>132</v>
      </c>
      <c r="J80" s="1" t="s">
        <v>34</v>
      </c>
      <c r="M80" s="36" t="s">
        <v>476</v>
      </c>
    </row>
    <row r="81">
      <c r="A81" s="1" t="s">
        <v>165</v>
      </c>
      <c r="B81" s="1">
        <v>14.0</v>
      </c>
      <c r="C81" s="1">
        <v>343.96</v>
      </c>
      <c r="D81" s="1" t="s">
        <v>96</v>
      </c>
      <c r="E81" s="1" t="s">
        <v>132</v>
      </c>
      <c r="J81" s="1" t="s">
        <v>29</v>
      </c>
      <c r="M81" s="38"/>
    </row>
    <row r="82">
      <c r="A82" s="1" t="s">
        <v>485</v>
      </c>
      <c r="B82" s="1">
        <v>14.0</v>
      </c>
      <c r="C82" s="1">
        <v>114.98</v>
      </c>
      <c r="D82" s="1" t="s">
        <v>96</v>
      </c>
      <c r="E82" s="1" t="s">
        <v>132</v>
      </c>
      <c r="J82" s="1" t="s">
        <v>31</v>
      </c>
      <c r="M82" s="38"/>
    </row>
    <row r="83">
      <c r="A83" s="1" t="s">
        <v>486</v>
      </c>
      <c r="B83" s="1">
        <v>14.0</v>
      </c>
      <c r="C83" s="1">
        <v>7.95</v>
      </c>
      <c r="D83" s="1" t="s">
        <v>96</v>
      </c>
      <c r="E83" s="1" t="s">
        <v>132</v>
      </c>
      <c r="J83" s="1" t="s">
        <v>33</v>
      </c>
      <c r="M83" s="38"/>
    </row>
    <row r="84">
      <c r="A84" s="1" t="s">
        <v>487</v>
      </c>
      <c r="B84" s="1">
        <v>15.0</v>
      </c>
      <c r="C84" s="1">
        <v>32.0</v>
      </c>
      <c r="D84" s="1" t="s">
        <v>96</v>
      </c>
      <c r="E84" s="1" t="s">
        <v>132</v>
      </c>
      <c r="J84" s="1" t="s">
        <v>34</v>
      </c>
      <c r="M84" s="38"/>
    </row>
    <row r="85">
      <c r="A85" s="1" t="s">
        <v>488</v>
      </c>
      <c r="B85" s="1">
        <v>15.0</v>
      </c>
      <c r="C85" s="1">
        <v>25.0</v>
      </c>
      <c r="D85" s="1" t="s">
        <v>96</v>
      </c>
      <c r="E85" s="1" t="s">
        <v>132</v>
      </c>
      <c r="J85" s="1" t="s">
        <v>34</v>
      </c>
      <c r="M85" s="38"/>
    </row>
    <row r="86">
      <c r="A86" s="1" t="s">
        <v>469</v>
      </c>
      <c r="B86" s="1">
        <v>15.0</v>
      </c>
      <c r="C86" s="1">
        <v>50.0</v>
      </c>
      <c r="D86" s="1" t="s">
        <v>96</v>
      </c>
      <c r="E86" s="1" t="s">
        <v>132</v>
      </c>
      <c r="J86" s="1" t="s">
        <v>18</v>
      </c>
      <c r="M86" s="38"/>
    </row>
    <row r="87">
      <c r="A87" s="1" t="s">
        <v>489</v>
      </c>
      <c r="B87" s="1">
        <v>15.0</v>
      </c>
      <c r="C87" s="1">
        <v>24.0</v>
      </c>
      <c r="D87" s="1" t="s">
        <v>96</v>
      </c>
      <c r="E87" s="1" t="s">
        <v>132</v>
      </c>
      <c r="J87" s="1" t="s">
        <v>34</v>
      </c>
      <c r="M87" s="38"/>
    </row>
    <row r="88">
      <c r="A88" s="1" t="s">
        <v>490</v>
      </c>
      <c r="B88" s="1">
        <v>15.0</v>
      </c>
      <c r="C88" s="1">
        <v>50.0</v>
      </c>
      <c r="D88" s="1" t="s">
        <v>96</v>
      </c>
      <c r="E88" s="1" t="s">
        <v>133</v>
      </c>
      <c r="J88" s="1" t="s">
        <v>18</v>
      </c>
      <c r="M88" s="38"/>
    </row>
    <row r="89">
      <c r="A89" s="1" t="s">
        <v>153</v>
      </c>
      <c r="B89" s="1">
        <v>16.0</v>
      </c>
      <c r="C89" s="1">
        <v>9.99</v>
      </c>
      <c r="D89" s="1" t="s">
        <v>96</v>
      </c>
      <c r="E89" s="1" t="s">
        <v>133</v>
      </c>
      <c r="J89" s="1" t="s">
        <v>33</v>
      </c>
      <c r="M89" s="38"/>
    </row>
    <row r="90">
      <c r="A90" s="1" t="s">
        <v>491</v>
      </c>
      <c r="B90" s="1">
        <v>16.0</v>
      </c>
      <c r="C90" s="1">
        <v>21.5</v>
      </c>
      <c r="D90" s="1" t="s">
        <v>96</v>
      </c>
      <c r="E90" s="1" t="s">
        <v>133</v>
      </c>
      <c r="J90" s="1" t="s">
        <v>34</v>
      </c>
      <c r="M90" s="38"/>
    </row>
    <row r="91">
      <c r="A91" s="1" t="s">
        <v>492</v>
      </c>
      <c r="B91" s="1">
        <v>16.0</v>
      </c>
      <c r="C91" s="1">
        <v>78.0</v>
      </c>
      <c r="D91" s="1" t="s">
        <v>96</v>
      </c>
      <c r="E91" s="1" t="s">
        <v>156</v>
      </c>
      <c r="J91" s="1" t="s">
        <v>45</v>
      </c>
      <c r="M91" s="38"/>
    </row>
    <row r="92">
      <c r="A92" s="1" t="s">
        <v>154</v>
      </c>
      <c r="B92" s="1">
        <v>16.0</v>
      </c>
      <c r="C92" s="1">
        <v>3.0</v>
      </c>
      <c r="D92" s="1" t="s">
        <v>96</v>
      </c>
      <c r="E92" s="1" t="s">
        <v>156</v>
      </c>
      <c r="J92" s="1" t="s">
        <v>39</v>
      </c>
      <c r="M92" s="38"/>
    </row>
    <row r="93">
      <c r="A93" s="1" t="s">
        <v>333</v>
      </c>
      <c r="B93" s="1">
        <v>16.0</v>
      </c>
      <c r="C93" s="1">
        <v>24.0</v>
      </c>
      <c r="D93" s="1" t="s">
        <v>96</v>
      </c>
      <c r="E93" s="1" t="s">
        <v>133</v>
      </c>
      <c r="J93" s="1" t="s">
        <v>24</v>
      </c>
      <c r="M93" s="38"/>
    </row>
    <row r="94">
      <c r="A94" s="1" t="s">
        <v>493</v>
      </c>
      <c r="B94" s="1">
        <v>16.0</v>
      </c>
      <c r="C94" s="1">
        <v>49.99</v>
      </c>
      <c r="D94" s="1" t="s">
        <v>96</v>
      </c>
      <c r="E94" s="1" t="s">
        <v>133</v>
      </c>
      <c r="J94" s="1" t="s">
        <v>31</v>
      </c>
      <c r="M94" s="38"/>
    </row>
    <row r="95">
      <c r="A95" s="1" t="s">
        <v>494</v>
      </c>
      <c r="B95" s="1">
        <v>17.0</v>
      </c>
      <c r="C95" s="1">
        <v>36.0</v>
      </c>
      <c r="D95" s="1" t="s">
        <v>96</v>
      </c>
      <c r="E95" s="1" t="s">
        <v>133</v>
      </c>
      <c r="J95" s="1" t="s">
        <v>32</v>
      </c>
      <c r="M95" s="38"/>
    </row>
    <row r="96">
      <c r="A96" s="1" t="s">
        <v>495</v>
      </c>
      <c r="B96" s="1">
        <v>18.0</v>
      </c>
      <c r="C96" s="1">
        <v>40.0</v>
      </c>
      <c r="D96" s="1" t="s">
        <v>96</v>
      </c>
      <c r="E96" s="1" t="s">
        <v>133</v>
      </c>
      <c r="J96" s="1" t="s">
        <v>34</v>
      </c>
      <c r="M96" s="38"/>
    </row>
    <row r="97">
      <c r="A97" s="1" t="s">
        <v>154</v>
      </c>
      <c r="B97" s="1">
        <v>19.0</v>
      </c>
      <c r="C97" s="1">
        <v>10.0</v>
      </c>
      <c r="D97" s="1" t="s">
        <v>96</v>
      </c>
      <c r="E97" s="1" t="s">
        <v>133</v>
      </c>
      <c r="J97" s="1" t="s">
        <v>39</v>
      </c>
      <c r="M97" s="38"/>
    </row>
    <row r="98">
      <c r="A98" s="1" t="s">
        <v>233</v>
      </c>
      <c r="B98" s="1">
        <v>19.0</v>
      </c>
      <c r="C98" s="1">
        <v>154.14</v>
      </c>
      <c r="D98" s="1" t="s">
        <v>96</v>
      </c>
      <c r="E98" s="1" t="s">
        <v>133</v>
      </c>
      <c r="J98" s="1" t="s">
        <v>28</v>
      </c>
      <c r="M98" s="38"/>
    </row>
    <row r="99">
      <c r="A99" s="1" t="s">
        <v>496</v>
      </c>
      <c r="B99" s="1">
        <v>21.0</v>
      </c>
      <c r="C99" s="1">
        <v>5.5</v>
      </c>
      <c r="D99" s="1" t="s">
        <v>96</v>
      </c>
      <c r="E99" s="1" t="s">
        <v>133</v>
      </c>
      <c r="J99" s="1" t="s">
        <v>32</v>
      </c>
      <c r="M99" s="38"/>
    </row>
    <row r="100">
      <c r="A100" s="1" t="s">
        <v>497</v>
      </c>
      <c r="B100" s="1">
        <v>21.0</v>
      </c>
      <c r="C100" s="1">
        <v>68.0</v>
      </c>
      <c r="D100" s="1" t="s">
        <v>96</v>
      </c>
      <c r="E100" s="1" t="s">
        <v>133</v>
      </c>
      <c r="J100" s="1" t="s">
        <v>32</v>
      </c>
      <c r="M100" s="38"/>
    </row>
    <row r="101">
      <c r="A101" s="1" t="s">
        <v>469</v>
      </c>
      <c r="B101" s="1">
        <v>21.0</v>
      </c>
      <c r="C101" s="1">
        <v>50.0</v>
      </c>
      <c r="D101" s="1" t="s">
        <v>96</v>
      </c>
      <c r="E101" s="1" t="s">
        <v>133</v>
      </c>
      <c r="J101" s="1" t="s">
        <v>18</v>
      </c>
      <c r="M101" s="38"/>
    </row>
    <row r="102">
      <c r="A102" s="1" t="s">
        <v>154</v>
      </c>
      <c r="B102" s="1">
        <v>22.0</v>
      </c>
      <c r="C102" s="1">
        <v>4.0</v>
      </c>
      <c r="D102" s="1" t="s">
        <v>96</v>
      </c>
      <c r="E102" s="1" t="s">
        <v>133</v>
      </c>
      <c r="J102" s="1" t="s">
        <v>39</v>
      </c>
      <c r="M102" s="38"/>
    </row>
    <row r="103">
      <c r="A103" s="1" t="s">
        <v>165</v>
      </c>
      <c r="B103" s="1">
        <v>22.0</v>
      </c>
      <c r="C103" s="1">
        <v>229.48</v>
      </c>
      <c r="D103" s="1" t="s">
        <v>96</v>
      </c>
      <c r="E103" s="1" t="s">
        <v>133</v>
      </c>
      <c r="J103" s="1" t="s">
        <v>29</v>
      </c>
      <c r="M103" s="38"/>
    </row>
    <row r="104">
      <c r="A104" s="1" t="s">
        <v>483</v>
      </c>
      <c r="B104" s="1">
        <v>23.0</v>
      </c>
      <c r="C104" s="1">
        <v>71.91</v>
      </c>
      <c r="D104" s="1" t="s">
        <v>96</v>
      </c>
      <c r="E104" s="1" t="s">
        <v>133</v>
      </c>
      <c r="J104" s="1" t="s">
        <v>29</v>
      </c>
      <c r="M104" s="38"/>
    </row>
    <row r="105">
      <c r="A105" s="1" t="s">
        <v>247</v>
      </c>
      <c r="B105" s="1">
        <v>23.0</v>
      </c>
      <c r="C105" s="1">
        <v>70.2</v>
      </c>
      <c r="D105" s="1" t="s">
        <v>96</v>
      </c>
      <c r="E105" s="1" t="s">
        <v>133</v>
      </c>
      <c r="J105" s="1" t="s">
        <v>29</v>
      </c>
      <c r="M105" s="38"/>
    </row>
    <row r="106">
      <c r="A106" s="1" t="s">
        <v>498</v>
      </c>
      <c r="B106" s="1">
        <v>24.0</v>
      </c>
      <c r="C106" s="1">
        <v>60.0</v>
      </c>
      <c r="D106" s="1" t="s">
        <v>96</v>
      </c>
      <c r="E106" s="1" t="s">
        <v>133</v>
      </c>
      <c r="J106" s="1" t="s">
        <v>32</v>
      </c>
      <c r="M106" s="38"/>
    </row>
    <row r="107">
      <c r="A107" s="1" t="s">
        <v>154</v>
      </c>
      <c r="B107" s="1">
        <v>24.0</v>
      </c>
      <c r="C107" s="1">
        <v>3.0</v>
      </c>
      <c r="D107" s="1" t="s">
        <v>96</v>
      </c>
      <c r="E107" s="1" t="s">
        <v>133</v>
      </c>
      <c r="J107" s="1" t="s">
        <v>39</v>
      </c>
      <c r="M107" s="38"/>
    </row>
    <row r="108">
      <c r="A108" s="1" t="s">
        <v>422</v>
      </c>
      <c r="B108" s="1">
        <v>24.0</v>
      </c>
      <c r="C108" s="1">
        <v>45.0</v>
      </c>
      <c r="D108" s="1" t="s">
        <v>96</v>
      </c>
      <c r="E108" s="1" t="s">
        <v>133</v>
      </c>
      <c r="J108" s="1" t="s">
        <v>42</v>
      </c>
      <c r="M108" s="38"/>
    </row>
    <row r="109">
      <c r="A109" s="1" t="s">
        <v>499</v>
      </c>
      <c r="B109" s="1">
        <v>12.0</v>
      </c>
      <c r="C109" s="1">
        <v>200.0</v>
      </c>
      <c r="D109" s="1" t="s">
        <v>96</v>
      </c>
      <c r="E109" s="1" t="s">
        <v>156</v>
      </c>
      <c r="J109" s="1" t="s">
        <v>45</v>
      </c>
      <c r="M109" s="38"/>
    </row>
    <row r="110">
      <c r="A110" s="1" t="s">
        <v>499</v>
      </c>
      <c r="B110" s="1">
        <v>9.0</v>
      </c>
      <c r="C110" s="1">
        <v>500.0</v>
      </c>
      <c r="D110" s="1" t="s">
        <v>96</v>
      </c>
      <c r="E110" s="1" t="s">
        <v>156</v>
      </c>
      <c r="J110" s="1" t="s">
        <v>45</v>
      </c>
      <c r="M110" s="38"/>
    </row>
    <row r="111">
      <c r="A111" s="1" t="s">
        <v>462</v>
      </c>
      <c r="B111" s="1">
        <v>30.0</v>
      </c>
      <c r="C111" s="1">
        <v>228.16</v>
      </c>
      <c r="D111" s="1" t="s">
        <v>96</v>
      </c>
      <c r="E111" s="1" t="s">
        <v>117</v>
      </c>
      <c r="J111" s="1" t="s">
        <v>23</v>
      </c>
      <c r="M111" s="38"/>
    </row>
    <row r="112">
      <c r="B112" s="1">
        <v>15.0</v>
      </c>
      <c r="C112" s="1">
        <v>0.0</v>
      </c>
      <c r="D112" s="1" t="s">
        <v>96</v>
      </c>
      <c r="E112" s="1" t="s">
        <v>156</v>
      </c>
      <c r="J112" s="1" t="s">
        <v>15</v>
      </c>
      <c r="M112" s="38"/>
    </row>
    <row r="113">
      <c r="B113" s="1">
        <v>16.0</v>
      </c>
      <c r="C113" s="1">
        <v>0.0</v>
      </c>
      <c r="D113" s="1" t="s">
        <v>96</v>
      </c>
      <c r="E113" s="1" t="s">
        <v>156</v>
      </c>
      <c r="J113" s="1" t="s">
        <v>32</v>
      </c>
      <c r="M113" s="38"/>
    </row>
    <row r="114">
      <c r="B114" s="1">
        <v>16.0</v>
      </c>
      <c r="C114" s="1">
        <v>0.0</v>
      </c>
      <c r="D114" s="1" t="s">
        <v>96</v>
      </c>
      <c r="E114" s="1" t="s">
        <v>156</v>
      </c>
      <c r="J114" s="1" t="s">
        <v>20</v>
      </c>
      <c r="M114" s="38"/>
    </row>
    <row r="115">
      <c r="B115" s="1">
        <v>21.0</v>
      </c>
      <c r="C115" s="1">
        <v>0.0</v>
      </c>
      <c r="D115" s="1" t="s">
        <v>96</v>
      </c>
      <c r="E115" s="1" t="s">
        <v>156</v>
      </c>
      <c r="J115" s="1" t="s">
        <v>45</v>
      </c>
      <c r="M115" s="38"/>
    </row>
    <row r="116">
      <c r="B116" s="1">
        <v>27.0</v>
      </c>
      <c r="C116" s="1">
        <v>0.0</v>
      </c>
      <c r="D116" s="1" t="s">
        <v>96</v>
      </c>
      <c r="E116" s="1" t="s">
        <v>156</v>
      </c>
      <c r="J116" s="1" t="s">
        <v>45</v>
      </c>
      <c r="M116" s="38"/>
    </row>
    <row r="117">
      <c r="B117" s="1">
        <v>29.0</v>
      </c>
      <c r="C117" s="1">
        <v>0.0</v>
      </c>
      <c r="D117" s="1" t="s">
        <v>96</v>
      </c>
      <c r="E117" s="1" t="s">
        <v>156</v>
      </c>
      <c r="J117" s="1" t="s">
        <v>20</v>
      </c>
      <c r="M117" s="38"/>
    </row>
    <row r="118">
      <c r="B118" s="1">
        <v>28.0</v>
      </c>
      <c r="C118" s="1">
        <v>0.0</v>
      </c>
      <c r="D118" s="1"/>
      <c r="E118" s="1" t="s">
        <v>117</v>
      </c>
      <c r="J118" s="1"/>
      <c r="M118" s="38"/>
    </row>
    <row r="119">
      <c r="A119" s="1"/>
      <c r="B119" s="1"/>
      <c r="C119" s="1"/>
      <c r="J119" s="14"/>
      <c r="M119" s="38"/>
    </row>
    <row r="120">
      <c r="A120" s="1" t="s">
        <v>236</v>
      </c>
      <c r="C120" s="1">
        <f>('Resumo 2023'!C68)*0.3-(250)</f>
        <v>2899.115</v>
      </c>
      <c r="M120" s="38"/>
    </row>
    <row r="121">
      <c r="A121" s="1" t="s">
        <v>50</v>
      </c>
      <c r="C121" s="8">
        <f>SUM(C2:C117)</f>
        <v>10367.06</v>
      </c>
      <c r="D121" s="8">
        <f>(9167.28)-C121-C120</f>
        <v>-4098.895</v>
      </c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6" t="s">
        <v>240</v>
      </c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  <row r="1038">
      <c r="M1038" s="38"/>
    </row>
    <row r="1039">
      <c r="M1039" s="38"/>
    </row>
    <row r="1040">
      <c r="M1040" s="38"/>
    </row>
    <row r="1041">
      <c r="M1041" s="38"/>
    </row>
    <row r="1042">
      <c r="M1042" s="38"/>
    </row>
    <row r="1043">
      <c r="M1043" s="38"/>
    </row>
    <row r="1044">
      <c r="M1044" s="38"/>
    </row>
    <row r="1045">
      <c r="M1045" s="38"/>
    </row>
    <row r="1046">
      <c r="M1046" s="38"/>
    </row>
    <row r="1047">
      <c r="M1047" s="38"/>
    </row>
    <row r="1048">
      <c r="M1048" s="38"/>
    </row>
  </sheetData>
  <autoFilter ref="$A$1:$BV$118"/>
  <conditionalFormatting sqref="B171">
    <cfRule type="cellIs" dxfId="1" priority="1" operator="greaterThanOrEqual">
      <formula>0</formula>
    </cfRule>
  </conditionalFormatting>
  <conditionalFormatting sqref="B171">
    <cfRule type="cellIs" dxfId="2" priority="2" operator="lessThan">
      <formula>0</formula>
    </cfRule>
  </conditionalFormatting>
  <dataValidations>
    <dataValidation type="list" allowBlank="1" showErrorMessage="1" sqref="J2:J119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veicular,ferias,projetos,dentista,pix aline,painel solar,reforma casa"</formula1>
    </dataValidation>
  </dataValidations>
  <hyperlinks>
    <hyperlink r:id="rId4" ref="A54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14.63"/>
    <col customWidth="1" min="5" max="5" width="16.38"/>
  </cols>
  <sheetData>
    <row r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685.0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104</v>
      </c>
      <c r="B4" s="1">
        <v>5.0</v>
      </c>
      <c r="C4" s="37">
        <v>140.0</v>
      </c>
      <c r="D4" s="1" t="s">
        <v>112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>
      <c r="A5" s="2" t="s">
        <v>106</v>
      </c>
      <c r="B5" s="2">
        <v>14.0</v>
      </c>
      <c r="C5" s="40">
        <v>0.0</v>
      </c>
      <c r="D5" s="2" t="s">
        <v>112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132.55</v>
      </c>
      <c r="D6" s="1" t="s">
        <v>112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113</v>
      </c>
      <c r="B7" s="1">
        <v>20.0</v>
      </c>
      <c r="C7" s="37">
        <v>88.0</v>
      </c>
      <c r="D7" s="1" t="s">
        <v>112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0.0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24.9</v>
      </c>
      <c r="D11" s="1" t="s">
        <v>96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0.0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96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244.12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  <c r="N16" s="42">
        <v>45992.0</v>
      </c>
    </row>
    <row r="17">
      <c r="A17" s="1" t="s">
        <v>130</v>
      </c>
      <c r="B17" s="1">
        <v>27.0</v>
      </c>
      <c r="C17" s="37">
        <f>89.9+139.9</f>
        <v>229.8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10.0</v>
      </c>
      <c r="C18" s="37">
        <v>20.0</v>
      </c>
      <c r="D18" s="1" t="s">
        <v>96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500</v>
      </c>
      <c r="B19" s="1">
        <v>0.0</v>
      </c>
      <c r="C19" s="1">
        <v>8.0</v>
      </c>
      <c r="D19" s="1" t="s">
        <v>96</v>
      </c>
      <c r="E19" s="1" t="s">
        <v>105</v>
      </c>
      <c r="G19" s="1" t="s">
        <v>98</v>
      </c>
      <c r="H19" s="1" t="s">
        <v>109</v>
      </c>
      <c r="J19" s="1" t="s">
        <v>39</v>
      </c>
      <c r="M19" s="38"/>
    </row>
    <row r="20">
      <c r="A20" s="1" t="s">
        <v>501</v>
      </c>
      <c r="B20" s="1">
        <v>0.0</v>
      </c>
      <c r="C20" s="1">
        <v>156.63</v>
      </c>
      <c r="D20" s="1" t="s">
        <v>96</v>
      </c>
      <c r="E20" s="1" t="s">
        <v>105</v>
      </c>
      <c r="G20" s="1" t="s">
        <v>98</v>
      </c>
      <c r="H20" s="1" t="s">
        <v>109</v>
      </c>
      <c r="J20" s="1" t="s">
        <v>29</v>
      </c>
      <c r="M20" s="38"/>
    </row>
    <row r="21">
      <c r="A21" s="1" t="s">
        <v>500</v>
      </c>
      <c r="B21" s="1">
        <v>0.0</v>
      </c>
      <c r="C21" s="1">
        <v>11.4</v>
      </c>
      <c r="D21" s="1" t="s">
        <v>96</v>
      </c>
      <c r="E21" s="1" t="s">
        <v>105</v>
      </c>
      <c r="G21" s="1" t="s">
        <v>98</v>
      </c>
      <c r="H21" s="1" t="s">
        <v>109</v>
      </c>
      <c r="J21" s="1" t="s">
        <v>39</v>
      </c>
      <c r="M21" s="38"/>
    </row>
    <row r="22">
      <c r="A22" s="1" t="s">
        <v>502</v>
      </c>
      <c r="B22" s="1">
        <v>0.0</v>
      </c>
      <c r="C22" s="1">
        <v>250.28</v>
      </c>
      <c r="D22" s="1" t="s">
        <v>96</v>
      </c>
      <c r="E22" s="1" t="s">
        <v>105</v>
      </c>
      <c r="G22" s="1" t="s">
        <v>98</v>
      </c>
      <c r="H22" s="1" t="s">
        <v>109</v>
      </c>
      <c r="J22" s="1" t="s">
        <v>29</v>
      </c>
      <c r="M22" s="38"/>
    </row>
    <row r="23">
      <c r="A23" s="1" t="s">
        <v>503</v>
      </c>
      <c r="B23" s="1">
        <v>0.0</v>
      </c>
      <c r="C23" s="1">
        <v>22.98</v>
      </c>
      <c r="D23" s="1" t="s">
        <v>96</v>
      </c>
      <c r="E23" s="1" t="s">
        <v>105</v>
      </c>
      <c r="G23" s="1" t="s">
        <v>98</v>
      </c>
      <c r="H23" s="1" t="s">
        <v>109</v>
      </c>
      <c r="J23" s="1" t="s">
        <v>29</v>
      </c>
      <c r="K23" s="42"/>
      <c r="M23" s="38"/>
    </row>
    <row r="24">
      <c r="A24" s="1" t="s">
        <v>504</v>
      </c>
      <c r="B24" s="1">
        <v>0.0</v>
      </c>
      <c r="C24" s="1">
        <v>61.4</v>
      </c>
      <c r="D24" s="1" t="s">
        <v>96</v>
      </c>
      <c r="E24" s="1" t="s">
        <v>105</v>
      </c>
      <c r="G24" s="1" t="s">
        <v>98</v>
      </c>
      <c r="H24" s="1" t="s">
        <v>109</v>
      </c>
      <c r="J24" s="1" t="s">
        <v>29</v>
      </c>
      <c r="M24" s="38"/>
      <c r="N24" s="42">
        <v>45324.0</v>
      </c>
    </row>
    <row r="25">
      <c r="A25" s="1" t="s">
        <v>505</v>
      </c>
      <c r="B25" s="1">
        <v>0.0</v>
      </c>
      <c r="C25" s="1">
        <v>4.0</v>
      </c>
      <c r="D25" s="1" t="s">
        <v>96</v>
      </c>
      <c r="E25" s="1" t="s">
        <v>105</v>
      </c>
      <c r="G25" s="1" t="s">
        <v>98</v>
      </c>
      <c r="H25" s="1" t="s">
        <v>109</v>
      </c>
      <c r="J25" s="1" t="s">
        <v>39</v>
      </c>
      <c r="M25" s="38"/>
    </row>
    <row r="26">
      <c r="A26" s="1" t="s">
        <v>506</v>
      </c>
      <c r="B26" s="1">
        <v>0.0</v>
      </c>
      <c r="C26" s="1">
        <v>25.9</v>
      </c>
      <c r="D26" s="1" t="s">
        <v>96</v>
      </c>
      <c r="E26" s="1" t="s">
        <v>105</v>
      </c>
      <c r="G26" s="1" t="s">
        <v>98</v>
      </c>
      <c r="J26" s="1" t="s">
        <v>32</v>
      </c>
      <c r="M26" s="38"/>
      <c r="N26" s="42">
        <v>45354.0</v>
      </c>
    </row>
    <row r="27">
      <c r="A27" s="1" t="s">
        <v>507</v>
      </c>
      <c r="B27" s="1">
        <v>0.0</v>
      </c>
      <c r="C27" s="1">
        <v>31.9</v>
      </c>
      <c r="D27" s="1" t="s">
        <v>96</v>
      </c>
      <c r="E27" s="1" t="s">
        <v>105</v>
      </c>
      <c r="G27" s="1" t="s">
        <v>98</v>
      </c>
      <c r="H27" s="1" t="s">
        <v>109</v>
      </c>
      <c r="J27" s="1" t="s">
        <v>29</v>
      </c>
      <c r="M27" s="38"/>
    </row>
    <row r="28">
      <c r="A28" s="1" t="s">
        <v>508</v>
      </c>
      <c r="B28" s="1">
        <v>0.0</v>
      </c>
      <c r="C28" s="1">
        <v>367.0</v>
      </c>
      <c r="D28" s="1" t="s">
        <v>96</v>
      </c>
      <c r="E28" s="1" t="s">
        <v>105</v>
      </c>
      <c r="G28" s="1" t="s">
        <v>98</v>
      </c>
      <c r="J28" s="1" t="s">
        <v>44</v>
      </c>
      <c r="M28" s="38"/>
    </row>
    <row r="29">
      <c r="A29" s="1" t="s">
        <v>509</v>
      </c>
      <c r="B29" s="1">
        <v>0.0</v>
      </c>
      <c r="C29" s="1">
        <v>328.55</v>
      </c>
      <c r="D29" s="1" t="s">
        <v>96</v>
      </c>
      <c r="E29" s="1" t="s">
        <v>133</v>
      </c>
      <c r="G29" s="1" t="s">
        <v>98</v>
      </c>
      <c r="J29" s="1" t="s">
        <v>48</v>
      </c>
      <c r="M29" s="38"/>
      <c r="N29" s="42">
        <v>45872.0</v>
      </c>
    </row>
    <row r="30">
      <c r="A30" s="1" t="s">
        <v>510</v>
      </c>
      <c r="B30" s="1">
        <v>0.0</v>
      </c>
      <c r="C30" s="1">
        <v>777.56</v>
      </c>
      <c r="D30" s="1" t="s">
        <v>96</v>
      </c>
      <c r="E30" s="1" t="s">
        <v>133</v>
      </c>
      <c r="G30" s="1" t="s">
        <v>98</v>
      </c>
      <c r="J30" s="1" t="s">
        <v>46</v>
      </c>
      <c r="M30" s="38"/>
      <c r="N30" s="42">
        <v>45993.0</v>
      </c>
    </row>
    <row r="31">
      <c r="A31" s="1" t="s">
        <v>511</v>
      </c>
      <c r="B31" s="1">
        <v>5.0</v>
      </c>
      <c r="C31" s="1">
        <v>51.93</v>
      </c>
      <c r="D31" s="1" t="s">
        <v>96</v>
      </c>
      <c r="E31" s="1" t="s">
        <v>117</v>
      </c>
      <c r="G31" s="1" t="s">
        <v>118</v>
      </c>
      <c r="H31" s="1" t="s">
        <v>109</v>
      </c>
      <c r="J31" s="1" t="s">
        <v>28</v>
      </c>
      <c r="M31" s="38"/>
    </row>
    <row r="32">
      <c r="A32" s="1" t="s">
        <v>264</v>
      </c>
      <c r="B32" s="1">
        <v>7.0</v>
      </c>
      <c r="C32" s="1">
        <v>5.0</v>
      </c>
      <c r="D32" s="1" t="s">
        <v>96</v>
      </c>
      <c r="E32" s="1" t="s">
        <v>132</v>
      </c>
      <c r="G32" s="1" t="s">
        <v>98</v>
      </c>
      <c r="J32" s="1" t="s">
        <v>20</v>
      </c>
      <c r="M32" s="38"/>
    </row>
    <row r="33">
      <c r="A33" s="1" t="s">
        <v>512</v>
      </c>
      <c r="B33" s="1">
        <v>8.0</v>
      </c>
      <c r="C33" s="1">
        <v>30.0</v>
      </c>
      <c r="D33" s="1" t="s">
        <v>96</v>
      </c>
      <c r="E33" s="1" t="s">
        <v>132</v>
      </c>
      <c r="G33" s="1" t="s">
        <v>98</v>
      </c>
      <c r="J33" s="1" t="s">
        <v>21</v>
      </c>
      <c r="M33" s="38"/>
    </row>
    <row r="34">
      <c r="A34" s="1" t="s">
        <v>513</v>
      </c>
      <c r="B34" s="1">
        <v>9.0</v>
      </c>
      <c r="C34" s="1">
        <v>400.0</v>
      </c>
      <c r="D34" s="1" t="s">
        <v>96</v>
      </c>
      <c r="E34" s="1" t="s">
        <v>132</v>
      </c>
      <c r="F34" s="1" t="s">
        <v>107</v>
      </c>
      <c r="G34" s="1" t="s">
        <v>98</v>
      </c>
      <c r="J34" s="1" t="s">
        <v>41</v>
      </c>
      <c r="M34" s="38"/>
    </row>
    <row r="35">
      <c r="A35" s="1" t="s">
        <v>514</v>
      </c>
      <c r="B35" s="1">
        <v>12.0</v>
      </c>
      <c r="C35" s="1">
        <v>75.0</v>
      </c>
      <c r="D35" s="1" t="s">
        <v>96</v>
      </c>
      <c r="E35" s="1" t="s">
        <v>132</v>
      </c>
      <c r="F35" s="1" t="s">
        <v>107</v>
      </c>
      <c r="G35" s="1" t="s">
        <v>98</v>
      </c>
      <c r="J35" s="1" t="s">
        <v>41</v>
      </c>
      <c r="M35" s="38"/>
    </row>
    <row r="36">
      <c r="A36" s="1" t="s">
        <v>505</v>
      </c>
      <c r="B36" s="1">
        <v>9.0</v>
      </c>
      <c r="C36" s="1">
        <v>4.0</v>
      </c>
      <c r="D36" s="1" t="s">
        <v>96</v>
      </c>
      <c r="E36" s="1" t="s">
        <v>133</v>
      </c>
      <c r="G36" s="1" t="s">
        <v>98</v>
      </c>
      <c r="J36" s="1" t="s">
        <v>39</v>
      </c>
      <c r="M36" s="38"/>
    </row>
    <row r="37">
      <c r="A37" s="1" t="s">
        <v>515</v>
      </c>
      <c r="B37" s="1">
        <v>9.0</v>
      </c>
      <c r="C37" s="1">
        <v>63.08</v>
      </c>
      <c r="D37" s="1" t="s">
        <v>96</v>
      </c>
      <c r="E37" s="1" t="s">
        <v>133</v>
      </c>
      <c r="G37" s="1" t="s">
        <v>98</v>
      </c>
      <c r="J37" s="1" t="s">
        <v>15</v>
      </c>
      <c r="M37" s="38"/>
    </row>
    <row r="38">
      <c r="A38" s="1" t="s">
        <v>282</v>
      </c>
      <c r="B38" s="1">
        <v>10.0</v>
      </c>
      <c r="C38" s="1">
        <v>19.99</v>
      </c>
      <c r="D38" s="1" t="s">
        <v>96</v>
      </c>
      <c r="E38" s="1" t="s">
        <v>133</v>
      </c>
      <c r="G38" s="1" t="s">
        <v>98</v>
      </c>
      <c r="J38" s="1" t="s">
        <v>35</v>
      </c>
      <c r="M38" s="36" t="s">
        <v>43</v>
      </c>
    </row>
    <row r="39">
      <c r="A39" s="1" t="s">
        <v>503</v>
      </c>
      <c r="B39" s="1">
        <v>10.0</v>
      </c>
      <c r="C39" s="1">
        <v>34.97</v>
      </c>
      <c r="D39" s="1" t="s">
        <v>96</v>
      </c>
      <c r="E39" s="1" t="s">
        <v>133</v>
      </c>
      <c r="G39" s="1" t="s">
        <v>98</v>
      </c>
      <c r="J39" s="1" t="s">
        <v>34</v>
      </c>
      <c r="M39" s="38"/>
    </row>
    <row r="40">
      <c r="A40" s="1" t="s">
        <v>516</v>
      </c>
      <c r="B40" s="1">
        <v>10.0</v>
      </c>
      <c r="C40" s="1">
        <v>22.35</v>
      </c>
      <c r="D40" s="1" t="s">
        <v>96</v>
      </c>
      <c r="E40" s="1" t="s">
        <v>133</v>
      </c>
      <c r="G40" s="1" t="s">
        <v>98</v>
      </c>
      <c r="J40" s="1" t="s">
        <v>25</v>
      </c>
      <c r="M40" s="38"/>
    </row>
    <row r="41">
      <c r="A41" s="1" t="s">
        <v>517</v>
      </c>
      <c r="B41" s="1">
        <v>10.0</v>
      </c>
      <c r="C41" s="1">
        <v>99.98</v>
      </c>
      <c r="D41" s="1" t="s">
        <v>96</v>
      </c>
      <c r="E41" s="1" t="s">
        <v>133</v>
      </c>
      <c r="G41" s="1" t="s">
        <v>98</v>
      </c>
      <c r="J41" s="1" t="s">
        <v>31</v>
      </c>
      <c r="M41" s="38"/>
    </row>
    <row r="42">
      <c r="A42" s="1" t="s">
        <v>264</v>
      </c>
      <c r="B42" s="1">
        <v>10.0</v>
      </c>
      <c r="C42" s="1">
        <v>9.0</v>
      </c>
      <c r="D42" s="1" t="s">
        <v>96</v>
      </c>
      <c r="E42" s="1" t="s">
        <v>133</v>
      </c>
      <c r="G42" s="1" t="s">
        <v>98</v>
      </c>
      <c r="J42" s="1" t="s">
        <v>20</v>
      </c>
      <c r="L42" s="42"/>
      <c r="M42" s="38"/>
    </row>
    <row r="43">
      <c r="A43" s="1" t="s">
        <v>381</v>
      </c>
      <c r="B43" s="1">
        <v>2.0</v>
      </c>
      <c r="C43" s="1">
        <v>57.46</v>
      </c>
      <c r="D43" s="1" t="s">
        <v>96</v>
      </c>
      <c r="E43" s="1" t="s">
        <v>133</v>
      </c>
      <c r="G43" s="1" t="s">
        <v>98</v>
      </c>
      <c r="J43" s="1" t="s">
        <v>18</v>
      </c>
      <c r="M43" s="38"/>
    </row>
    <row r="44">
      <c r="A44" s="1" t="s">
        <v>333</v>
      </c>
      <c r="B44" s="1">
        <v>2.0</v>
      </c>
      <c r="C44" s="1">
        <v>24.0</v>
      </c>
      <c r="D44" s="1" t="s">
        <v>96</v>
      </c>
      <c r="E44" s="1" t="s">
        <v>133</v>
      </c>
      <c r="G44" s="1" t="s">
        <v>98</v>
      </c>
      <c r="J44" s="1" t="s">
        <v>24</v>
      </c>
      <c r="M44" s="38"/>
    </row>
    <row r="45">
      <c r="A45" s="1" t="s">
        <v>518</v>
      </c>
      <c r="B45" s="1">
        <v>2.0</v>
      </c>
      <c r="C45" s="1">
        <v>49.54</v>
      </c>
      <c r="D45" s="1" t="s">
        <v>96</v>
      </c>
      <c r="E45" s="1" t="s">
        <v>133</v>
      </c>
      <c r="G45" s="1" t="s">
        <v>98</v>
      </c>
      <c r="J45" s="1" t="s">
        <v>32</v>
      </c>
      <c r="M45" s="38"/>
    </row>
    <row r="46">
      <c r="A46" s="1" t="s">
        <v>519</v>
      </c>
      <c r="B46" s="1">
        <v>2.0</v>
      </c>
      <c r="C46" s="1">
        <v>28.2</v>
      </c>
      <c r="D46" s="1" t="s">
        <v>96</v>
      </c>
      <c r="E46" s="1" t="s">
        <v>133</v>
      </c>
      <c r="G46" s="1" t="s">
        <v>98</v>
      </c>
      <c r="J46" s="1" t="s">
        <v>29</v>
      </c>
      <c r="M46" s="38"/>
    </row>
    <row r="47">
      <c r="A47" s="1" t="s">
        <v>520</v>
      </c>
      <c r="B47" s="1">
        <v>3.0</v>
      </c>
      <c r="C47" s="1">
        <v>76.0</v>
      </c>
      <c r="D47" s="1" t="s">
        <v>96</v>
      </c>
      <c r="E47" s="1" t="s">
        <v>133</v>
      </c>
      <c r="G47" s="1" t="s">
        <v>98</v>
      </c>
      <c r="J47" s="1" t="s">
        <v>34</v>
      </c>
      <c r="M47" s="38"/>
    </row>
    <row r="48">
      <c r="A48" s="1" t="s">
        <v>500</v>
      </c>
      <c r="B48" s="1">
        <v>4.0</v>
      </c>
      <c r="C48" s="1">
        <v>3.0</v>
      </c>
      <c r="D48" s="1" t="s">
        <v>96</v>
      </c>
      <c r="E48" s="1" t="s">
        <v>133</v>
      </c>
      <c r="G48" s="1" t="s">
        <v>98</v>
      </c>
      <c r="J48" s="1" t="s">
        <v>39</v>
      </c>
      <c r="M48" s="38"/>
    </row>
    <row r="49">
      <c r="A49" s="1" t="s">
        <v>521</v>
      </c>
      <c r="B49" s="1">
        <v>5.0</v>
      </c>
      <c r="C49" s="1">
        <v>47.91</v>
      </c>
      <c r="D49" s="1" t="s">
        <v>96</v>
      </c>
      <c r="E49" s="1" t="s">
        <v>133</v>
      </c>
      <c r="G49" s="1" t="s">
        <v>98</v>
      </c>
      <c r="J49" s="1" t="s">
        <v>25</v>
      </c>
      <c r="M49" s="38"/>
    </row>
    <row r="50">
      <c r="A50" s="1" t="s">
        <v>283</v>
      </c>
      <c r="B50" s="1">
        <v>5.0</v>
      </c>
      <c r="C50" s="1">
        <v>28.16</v>
      </c>
      <c r="D50" s="1" t="s">
        <v>96</v>
      </c>
      <c r="E50" s="1" t="s">
        <v>133</v>
      </c>
      <c r="G50" s="1" t="s">
        <v>98</v>
      </c>
      <c r="J50" s="1" t="s">
        <v>25</v>
      </c>
      <c r="M50" s="38"/>
    </row>
    <row r="51">
      <c r="A51" s="1" t="s">
        <v>505</v>
      </c>
      <c r="B51" s="1">
        <v>7.0</v>
      </c>
      <c r="C51" s="1">
        <v>4.0</v>
      </c>
      <c r="D51" s="1" t="s">
        <v>96</v>
      </c>
      <c r="E51" s="1" t="s">
        <v>133</v>
      </c>
      <c r="G51" s="1" t="s">
        <v>98</v>
      </c>
      <c r="J51" s="1" t="s">
        <v>39</v>
      </c>
      <c r="M51" s="38"/>
    </row>
    <row r="52">
      <c r="A52" s="1" t="s">
        <v>419</v>
      </c>
      <c r="B52" s="1">
        <v>7.0</v>
      </c>
      <c r="C52" s="1">
        <v>47.58</v>
      </c>
      <c r="D52" s="1" t="s">
        <v>96</v>
      </c>
      <c r="E52" s="1" t="s">
        <v>133</v>
      </c>
      <c r="G52" s="1" t="s">
        <v>98</v>
      </c>
      <c r="J52" s="1" t="s">
        <v>29</v>
      </c>
      <c r="M52" s="38"/>
    </row>
    <row r="53">
      <c r="A53" s="1" t="s">
        <v>381</v>
      </c>
      <c r="B53" s="1">
        <v>8.0</v>
      </c>
      <c r="C53" s="1">
        <v>52.84</v>
      </c>
      <c r="D53" s="1" t="s">
        <v>96</v>
      </c>
      <c r="E53" s="1" t="s">
        <v>133</v>
      </c>
      <c r="G53" s="1" t="s">
        <v>98</v>
      </c>
      <c r="J53" s="1" t="s">
        <v>18</v>
      </c>
      <c r="M53" s="38"/>
    </row>
    <row r="54">
      <c r="A54" s="1" t="s">
        <v>522</v>
      </c>
      <c r="B54" s="1">
        <v>8.0</v>
      </c>
      <c r="C54" s="1">
        <v>500.0</v>
      </c>
      <c r="D54" s="1" t="s">
        <v>96</v>
      </c>
      <c r="E54" s="1" t="s">
        <v>133</v>
      </c>
      <c r="G54" s="1" t="s">
        <v>98</v>
      </c>
      <c r="J54" s="1" t="s">
        <v>23</v>
      </c>
      <c r="M54" s="38"/>
    </row>
    <row r="55">
      <c r="A55" s="1" t="s">
        <v>415</v>
      </c>
      <c r="B55" s="1">
        <v>11.0</v>
      </c>
      <c r="C55" s="1">
        <v>60.0</v>
      </c>
      <c r="D55" s="1" t="s">
        <v>96</v>
      </c>
      <c r="E55" s="1" t="s">
        <v>132</v>
      </c>
      <c r="G55" s="1"/>
      <c r="J55" s="1" t="s">
        <v>34</v>
      </c>
      <c r="M55" s="38"/>
    </row>
    <row r="56">
      <c r="A56" s="1" t="s">
        <v>154</v>
      </c>
      <c r="B56" s="1">
        <v>9.0</v>
      </c>
      <c r="C56" s="1">
        <v>4.0</v>
      </c>
      <c r="D56" s="1" t="s">
        <v>96</v>
      </c>
      <c r="E56" s="1" t="s">
        <v>133</v>
      </c>
      <c r="G56" s="1"/>
      <c r="J56" s="1" t="s">
        <v>39</v>
      </c>
      <c r="M56" s="38"/>
    </row>
    <row r="57">
      <c r="A57" s="1" t="s">
        <v>515</v>
      </c>
      <c r="B57" s="1">
        <v>9.0</v>
      </c>
      <c r="C57" s="1">
        <v>63.08</v>
      </c>
      <c r="D57" s="1" t="s">
        <v>96</v>
      </c>
      <c r="E57" s="1" t="s">
        <v>133</v>
      </c>
      <c r="G57" s="1"/>
      <c r="J57" s="1" t="s">
        <v>15</v>
      </c>
      <c r="M57" s="38"/>
    </row>
    <row r="58">
      <c r="A58" s="1" t="s">
        <v>264</v>
      </c>
      <c r="B58" s="1">
        <v>10.0</v>
      </c>
      <c r="C58" s="1">
        <v>9.0</v>
      </c>
      <c r="D58" s="1" t="s">
        <v>96</v>
      </c>
      <c r="E58" s="1" t="s">
        <v>133</v>
      </c>
      <c r="G58" s="1"/>
      <c r="J58" s="1" t="s">
        <v>20</v>
      </c>
      <c r="M58" s="38"/>
    </row>
    <row r="59">
      <c r="A59" s="1" t="s">
        <v>503</v>
      </c>
      <c r="B59" s="1">
        <v>10.0</v>
      </c>
      <c r="C59" s="1">
        <v>34.97</v>
      </c>
      <c r="D59" s="1" t="s">
        <v>96</v>
      </c>
      <c r="E59" s="1" t="s">
        <v>133</v>
      </c>
      <c r="G59" s="1"/>
      <c r="J59" s="1" t="s">
        <v>34</v>
      </c>
      <c r="M59" s="38"/>
    </row>
    <row r="60">
      <c r="A60" s="1" t="s">
        <v>517</v>
      </c>
      <c r="B60" s="1">
        <v>10.0</v>
      </c>
      <c r="C60" s="1">
        <v>99.98</v>
      </c>
      <c r="D60" s="1" t="s">
        <v>96</v>
      </c>
      <c r="E60" s="1" t="s">
        <v>133</v>
      </c>
      <c r="G60" s="1"/>
      <c r="J60" s="1" t="s">
        <v>31</v>
      </c>
      <c r="M60" s="38"/>
    </row>
    <row r="61">
      <c r="A61" s="1" t="s">
        <v>523</v>
      </c>
      <c r="B61" s="1">
        <v>10.0</v>
      </c>
      <c r="C61" s="1">
        <v>69.8</v>
      </c>
      <c r="D61" s="1" t="s">
        <v>96</v>
      </c>
      <c r="E61" s="1" t="s">
        <v>133</v>
      </c>
      <c r="G61" s="1"/>
      <c r="J61" s="1" t="s">
        <v>34</v>
      </c>
      <c r="M61" s="38"/>
    </row>
    <row r="62">
      <c r="A62" s="1" t="s">
        <v>282</v>
      </c>
      <c r="B62" s="1">
        <v>10.0</v>
      </c>
      <c r="C62" s="1">
        <v>19.99</v>
      </c>
      <c r="D62" s="1" t="s">
        <v>96</v>
      </c>
      <c r="E62" s="1" t="s">
        <v>133</v>
      </c>
      <c r="G62" s="1"/>
      <c r="J62" s="1" t="s">
        <v>35</v>
      </c>
      <c r="M62" s="38"/>
    </row>
    <row r="63">
      <c r="A63" s="1" t="s">
        <v>283</v>
      </c>
      <c r="B63" s="1">
        <v>10.0</v>
      </c>
      <c r="C63" s="1">
        <v>22.35</v>
      </c>
      <c r="D63" s="1" t="s">
        <v>96</v>
      </c>
      <c r="E63" s="1" t="s">
        <v>133</v>
      </c>
      <c r="G63" s="1"/>
      <c r="J63" s="1" t="s">
        <v>25</v>
      </c>
      <c r="M63" s="38"/>
    </row>
    <row r="64">
      <c r="A64" s="1" t="s">
        <v>524</v>
      </c>
      <c r="B64" s="1">
        <v>11.0</v>
      </c>
      <c r="C64" s="1">
        <v>16.99</v>
      </c>
      <c r="D64" s="1" t="s">
        <v>96</v>
      </c>
      <c r="E64" s="1" t="s">
        <v>133</v>
      </c>
      <c r="G64" s="1"/>
      <c r="J64" s="1" t="s">
        <v>25</v>
      </c>
      <c r="M64" s="36" t="s">
        <v>476</v>
      </c>
    </row>
    <row r="65">
      <c r="A65" s="1" t="s">
        <v>525</v>
      </c>
      <c r="B65" s="1">
        <v>11.0</v>
      </c>
      <c r="C65" s="1">
        <v>8.75</v>
      </c>
      <c r="D65" s="1" t="s">
        <v>96</v>
      </c>
      <c r="E65" s="1" t="s">
        <v>133</v>
      </c>
      <c r="G65" s="1"/>
      <c r="J65" s="1" t="s">
        <v>35</v>
      </c>
      <c r="L65" s="42"/>
      <c r="M65" s="36" t="s">
        <v>476</v>
      </c>
    </row>
    <row r="66">
      <c r="A66" s="1" t="s">
        <v>381</v>
      </c>
      <c r="B66" s="1">
        <v>12.0</v>
      </c>
      <c r="C66" s="1">
        <v>64.99</v>
      </c>
      <c r="D66" s="1" t="s">
        <v>96</v>
      </c>
      <c r="E66" s="1" t="s">
        <v>133</v>
      </c>
      <c r="G66" s="1"/>
      <c r="J66" s="1" t="s">
        <v>18</v>
      </c>
      <c r="M66" s="36" t="s">
        <v>476</v>
      </c>
    </row>
    <row r="67">
      <c r="A67" s="1" t="s">
        <v>250</v>
      </c>
      <c r="B67" s="1">
        <v>13.0</v>
      </c>
      <c r="C67" s="1">
        <v>31.39</v>
      </c>
      <c r="D67" s="1" t="s">
        <v>96</v>
      </c>
      <c r="E67" s="1" t="s">
        <v>133</v>
      </c>
      <c r="J67" s="1" t="s">
        <v>24</v>
      </c>
      <c r="M67" s="36" t="s">
        <v>476</v>
      </c>
    </row>
    <row r="68">
      <c r="A68" s="1" t="s">
        <v>333</v>
      </c>
      <c r="B68" s="1">
        <v>15.0</v>
      </c>
      <c r="C68" s="1">
        <v>24.0</v>
      </c>
      <c r="D68" s="1" t="s">
        <v>96</v>
      </c>
      <c r="E68" s="1" t="s">
        <v>133</v>
      </c>
      <c r="J68" s="1" t="s">
        <v>24</v>
      </c>
      <c r="M68" s="36" t="s">
        <v>476</v>
      </c>
    </row>
    <row r="69">
      <c r="A69" s="1" t="s">
        <v>136</v>
      </c>
      <c r="B69" s="1">
        <v>15.0</v>
      </c>
      <c r="C69" s="1">
        <v>188.77</v>
      </c>
      <c r="D69" s="1" t="s">
        <v>96</v>
      </c>
      <c r="E69" s="1" t="s">
        <v>133</v>
      </c>
      <c r="J69" s="1" t="s">
        <v>29</v>
      </c>
      <c r="M69" s="36" t="s">
        <v>476</v>
      </c>
    </row>
    <row r="70">
      <c r="A70" s="1" t="s">
        <v>474</v>
      </c>
      <c r="B70" s="1">
        <v>16.0</v>
      </c>
      <c r="C70" s="1">
        <v>48.0</v>
      </c>
      <c r="D70" s="1" t="s">
        <v>96</v>
      </c>
      <c r="E70" s="1" t="s">
        <v>133</v>
      </c>
      <c r="J70" s="1" t="s">
        <v>29</v>
      </c>
      <c r="M70" s="36" t="s">
        <v>476</v>
      </c>
    </row>
    <row r="71">
      <c r="A71" s="1" t="s">
        <v>39</v>
      </c>
      <c r="B71" s="1">
        <v>16.0</v>
      </c>
      <c r="C71" s="1">
        <v>11.4</v>
      </c>
      <c r="D71" s="1" t="s">
        <v>96</v>
      </c>
      <c r="E71" s="1" t="s">
        <v>133</v>
      </c>
      <c r="J71" s="1" t="s">
        <v>39</v>
      </c>
      <c r="M71" s="36" t="s">
        <v>476</v>
      </c>
    </row>
    <row r="72">
      <c r="A72" s="1" t="s">
        <v>526</v>
      </c>
      <c r="B72" s="1">
        <v>16.0</v>
      </c>
      <c r="C72" s="1">
        <v>26.1</v>
      </c>
      <c r="D72" s="1" t="s">
        <v>96</v>
      </c>
      <c r="E72" s="1" t="s">
        <v>133</v>
      </c>
      <c r="J72" s="1" t="s">
        <v>40</v>
      </c>
      <c r="K72" s="42"/>
      <c r="M72" s="36" t="s">
        <v>476</v>
      </c>
    </row>
    <row r="73">
      <c r="A73" s="1" t="s">
        <v>271</v>
      </c>
      <c r="B73" s="1">
        <v>17.0</v>
      </c>
      <c r="C73" s="1">
        <v>124.37</v>
      </c>
      <c r="D73" s="1" t="s">
        <v>96</v>
      </c>
      <c r="E73" s="1" t="s">
        <v>133</v>
      </c>
      <c r="J73" s="1" t="s">
        <v>29</v>
      </c>
      <c r="M73" s="36" t="s">
        <v>476</v>
      </c>
    </row>
    <row r="74">
      <c r="A74" s="1" t="s">
        <v>136</v>
      </c>
      <c r="B74" s="1">
        <v>18.0</v>
      </c>
      <c r="C74" s="1">
        <v>199.45</v>
      </c>
      <c r="D74" s="1" t="s">
        <v>96</v>
      </c>
      <c r="E74" s="1" t="s">
        <v>133</v>
      </c>
      <c r="J74" s="1" t="s">
        <v>29</v>
      </c>
      <c r="M74" s="36" t="s">
        <v>476</v>
      </c>
    </row>
    <row r="75">
      <c r="A75" s="1" t="s">
        <v>527</v>
      </c>
      <c r="B75" s="1">
        <v>18.0</v>
      </c>
      <c r="C75" s="1">
        <v>50.67</v>
      </c>
      <c r="D75" s="1" t="s">
        <v>96</v>
      </c>
      <c r="E75" s="1" t="s">
        <v>133</v>
      </c>
      <c r="J75" s="1" t="s">
        <v>18</v>
      </c>
      <c r="M75" s="36" t="s">
        <v>476</v>
      </c>
    </row>
    <row r="76">
      <c r="A76" s="1" t="s">
        <v>154</v>
      </c>
      <c r="B76" s="1">
        <v>19.0</v>
      </c>
      <c r="C76" s="1">
        <v>4.0</v>
      </c>
      <c r="D76" s="1" t="s">
        <v>96</v>
      </c>
      <c r="E76" s="1" t="s">
        <v>133</v>
      </c>
      <c r="J76" s="1" t="s">
        <v>39</v>
      </c>
      <c r="M76" s="36" t="s">
        <v>476</v>
      </c>
    </row>
    <row r="77">
      <c r="A77" s="1" t="s">
        <v>233</v>
      </c>
      <c r="B77" s="1">
        <v>18.0</v>
      </c>
      <c r="C77" s="1">
        <v>191.9</v>
      </c>
      <c r="D77" s="1" t="s">
        <v>96</v>
      </c>
      <c r="E77" s="1" t="s">
        <v>117</v>
      </c>
      <c r="J77" s="1" t="s">
        <v>28</v>
      </c>
      <c r="M77" s="36" t="s">
        <v>476</v>
      </c>
    </row>
    <row r="78">
      <c r="A78" s="1" t="s">
        <v>528</v>
      </c>
      <c r="B78" s="1">
        <v>14.0</v>
      </c>
      <c r="C78" s="1">
        <v>175.5</v>
      </c>
      <c r="D78" s="1" t="s">
        <v>96</v>
      </c>
      <c r="E78" s="1" t="s">
        <v>117</v>
      </c>
      <c r="J78" s="1" t="s">
        <v>44</v>
      </c>
      <c r="M78" s="36" t="s">
        <v>476</v>
      </c>
    </row>
    <row r="79">
      <c r="A79" s="1" t="s">
        <v>233</v>
      </c>
      <c r="B79" s="1">
        <v>6.0</v>
      </c>
      <c r="C79" s="1">
        <v>230.76</v>
      </c>
      <c r="D79" s="1" t="s">
        <v>96</v>
      </c>
      <c r="E79" s="1" t="s">
        <v>117</v>
      </c>
      <c r="J79" s="1" t="s">
        <v>24</v>
      </c>
      <c r="M79" s="36" t="s">
        <v>476</v>
      </c>
    </row>
    <row r="80">
      <c r="A80" s="1" t="s">
        <v>529</v>
      </c>
      <c r="B80" s="1">
        <v>20.0</v>
      </c>
      <c r="C80" s="1">
        <v>2077.0</v>
      </c>
      <c r="D80" s="1" t="s">
        <v>96</v>
      </c>
      <c r="E80" s="1" t="s">
        <v>132</v>
      </c>
      <c r="J80" s="1" t="s">
        <v>16</v>
      </c>
      <c r="M80" s="36" t="s">
        <v>476</v>
      </c>
    </row>
    <row r="81">
      <c r="A81" s="1" t="s">
        <v>530</v>
      </c>
      <c r="B81" s="1">
        <v>4.0</v>
      </c>
      <c r="C81" s="1">
        <v>380.12</v>
      </c>
      <c r="D81" s="1" t="s">
        <v>96</v>
      </c>
      <c r="E81" s="1" t="s">
        <v>132</v>
      </c>
      <c r="J81" s="1" t="s">
        <v>16</v>
      </c>
      <c r="M81" s="38"/>
    </row>
    <row r="82">
      <c r="A82" s="1" t="s">
        <v>531</v>
      </c>
      <c r="B82" s="1">
        <v>5.0</v>
      </c>
      <c r="C82" s="1">
        <v>367.65</v>
      </c>
      <c r="D82" s="1" t="s">
        <v>96</v>
      </c>
      <c r="E82" s="1" t="s">
        <v>132</v>
      </c>
      <c r="J82" s="1" t="s">
        <v>44</v>
      </c>
      <c r="M82" s="38"/>
    </row>
    <row r="83">
      <c r="A83" s="1" t="s">
        <v>402</v>
      </c>
      <c r="B83" s="1">
        <v>14.0</v>
      </c>
      <c r="C83" s="1">
        <v>523.18</v>
      </c>
      <c r="D83" s="1" t="s">
        <v>96</v>
      </c>
      <c r="E83" s="1" t="s">
        <v>132</v>
      </c>
      <c r="J83" s="1" t="s">
        <v>44</v>
      </c>
      <c r="M83" s="38"/>
    </row>
    <row r="84">
      <c r="A84" s="1" t="s">
        <v>402</v>
      </c>
      <c r="B84" s="1">
        <v>19.0</v>
      </c>
      <c r="C84" s="1">
        <v>122.25</v>
      </c>
      <c r="D84" s="1" t="s">
        <v>96</v>
      </c>
      <c r="E84" s="1" t="s">
        <v>132</v>
      </c>
      <c r="J84" s="1" t="s">
        <v>44</v>
      </c>
      <c r="M84" s="38"/>
    </row>
    <row r="85">
      <c r="A85" s="1" t="s">
        <v>532</v>
      </c>
      <c r="B85" s="1">
        <v>15.0</v>
      </c>
      <c r="C85" s="1">
        <v>40.92</v>
      </c>
      <c r="D85" s="1" t="s">
        <v>96</v>
      </c>
      <c r="E85" s="1" t="s">
        <v>132</v>
      </c>
      <c r="J85" s="1" t="s">
        <v>44</v>
      </c>
      <c r="M85" s="38"/>
    </row>
    <row r="86">
      <c r="A86" s="1" t="s">
        <v>533</v>
      </c>
      <c r="B86" s="1">
        <v>16.0</v>
      </c>
      <c r="C86" s="1">
        <v>33.0</v>
      </c>
      <c r="D86" s="1" t="s">
        <v>96</v>
      </c>
      <c r="E86" s="1" t="s">
        <v>132</v>
      </c>
      <c r="J86" s="1" t="s">
        <v>15</v>
      </c>
      <c r="M86" s="38"/>
    </row>
    <row r="87">
      <c r="A87" s="1" t="s">
        <v>264</v>
      </c>
      <c r="B87" s="1">
        <v>16.0</v>
      </c>
      <c r="C87" s="1">
        <v>5.0</v>
      </c>
      <c r="D87" s="1" t="s">
        <v>96</v>
      </c>
      <c r="E87" s="1" t="s">
        <v>132</v>
      </c>
      <c r="J87" s="1" t="s">
        <v>20</v>
      </c>
      <c r="M87" s="38"/>
    </row>
    <row r="88">
      <c r="A88" s="1" t="s">
        <v>534</v>
      </c>
      <c r="B88" s="1">
        <v>15.0</v>
      </c>
      <c r="C88" s="1">
        <v>2.99</v>
      </c>
      <c r="D88" s="1" t="s">
        <v>96</v>
      </c>
      <c r="E88" s="1" t="s">
        <v>133</v>
      </c>
      <c r="J88" s="1" t="s">
        <v>34</v>
      </c>
      <c r="M88" s="38"/>
    </row>
    <row r="89">
      <c r="A89" s="1" t="s">
        <v>535</v>
      </c>
      <c r="B89" s="1">
        <v>12.0</v>
      </c>
      <c r="C89" s="1">
        <v>6.2</v>
      </c>
      <c r="D89" s="1" t="s">
        <v>96</v>
      </c>
      <c r="E89" s="1" t="s">
        <v>133</v>
      </c>
      <c r="J89" s="1" t="s">
        <v>34</v>
      </c>
      <c r="M89" s="38"/>
    </row>
    <row r="90">
      <c r="A90" s="1" t="s">
        <v>536</v>
      </c>
      <c r="B90" s="1">
        <v>12.0</v>
      </c>
      <c r="C90" s="1">
        <v>20.0</v>
      </c>
      <c r="D90" s="1" t="s">
        <v>96</v>
      </c>
      <c r="E90" s="1" t="s">
        <v>133</v>
      </c>
      <c r="J90" s="1" t="s">
        <v>21</v>
      </c>
      <c r="M90" s="38"/>
    </row>
    <row r="91">
      <c r="A91" s="1" t="s">
        <v>257</v>
      </c>
      <c r="B91" s="1">
        <v>12.0</v>
      </c>
      <c r="C91" s="1">
        <v>433.98</v>
      </c>
      <c r="D91" s="1" t="s">
        <v>96</v>
      </c>
      <c r="E91" s="1" t="s">
        <v>156</v>
      </c>
      <c r="J91" s="1" t="s">
        <v>15</v>
      </c>
      <c r="M91" s="38"/>
    </row>
    <row r="92">
      <c r="A92" s="1" t="s">
        <v>537</v>
      </c>
      <c r="B92" s="1">
        <v>14.0</v>
      </c>
      <c r="C92" s="1">
        <v>80.38</v>
      </c>
      <c r="D92" s="1" t="s">
        <v>96</v>
      </c>
      <c r="E92" s="1" t="s">
        <v>156</v>
      </c>
      <c r="J92" s="1" t="s">
        <v>38</v>
      </c>
      <c r="M92" s="38"/>
    </row>
    <row r="93">
      <c r="A93" s="1" t="s">
        <v>154</v>
      </c>
      <c r="B93" s="1">
        <v>21.0</v>
      </c>
      <c r="C93" s="1">
        <v>4.0</v>
      </c>
      <c r="D93" s="1" t="s">
        <v>96</v>
      </c>
      <c r="E93" s="1" t="s">
        <v>133</v>
      </c>
      <c r="J93" s="1" t="s">
        <v>39</v>
      </c>
      <c r="M93" s="38"/>
    </row>
    <row r="94">
      <c r="A94" s="1" t="s">
        <v>154</v>
      </c>
      <c r="B94" s="1">
        <v>23.0</v>
      </c>
      <c r="C94" s="1">
        <v>9.0</v>
      </c>
      <c r="D94" s="1" t="s">
        <v>96</v>
      </c>
      <c r="E94" s="1" t="s">
        <v>133</v>
      </c>
      <c r="J94" s="1" t="s">
        <v>39</v>
      </c>
      <c r="M94" s="38"/>
    </row>
    <row r="95">
      <c r="A95" s="1" t="s">
        <v>381</v>
      </c>
      <c r="B95" s="1">
        <v>23.0</v>
      </c>
      <c r="C95" s="1">
        <v>55.62</v>
      </c>
      <c r="D95" s="1" t="s">
        <v>96</v>
      </c>
      <c r="E95" s="1" t="s">
        <v>133</v>
      </c>
      <c r="J95" s="1" t="s">
        <v>18</v>
      </c>
      <c r="M95" s="38"/>
    </row>
    <row r="96">
      <c r="A96" s="1" t="s">
        <v>443</v>
      </c>
      <c r="B96" s="1">
        <v>23.0</v>
      </c>
      <c r="C96" s="1">
        <v>13.99</v>
      </c>
      <c r="D96" s="1" t="s">
        <v>96</v>
      </c>
      <c r="E96" s="1" t="s">
        <v>133</v>
      </c>
      <c r="J96" s="1" t="s">
        <v>41</v>
      </c>
      <c r="M96" s="38"/>
    </row>
    <row r="97">
      <c r="A97" s="1" t="s">
        <v>538</v>
      </c>
      <c r="B97" s="1">
        <v>23.0</v>
      </c>
      <c r="C97" s="1">
        <v>185.38</v>
      </c>
      <c r="D97" s="1" t="s">
        <v>96</v>
      </c>
      <c r="E97" s="1" t="s">
        <v>133</v>
      </c>
      <c r="J97" s="1" t="s">
        <v>29</v>
      </c>
      <c r="M97" s="38"/>
    </row>
    <row r="98">
      <c r="A98" s="1" t="s">
        <v>494</v>
      </c>
      <c r="B98" s="1">
        <v>24.0</v>
      </c>
      <c r="C98" s="1">
        <v>42.0</v>
      </c>
      <c r="D98" s="1" t="s">
        <v>96</v>
      </c>
      <c r="E98" s="1" t="s">
        <v>133</v>
      </c>
      <c r="J98" s="1" t="s">
        <v>41</v>
      </c>
      <c r="M98" s="38"/>
    </row>
    <row r="99">
      <c r="A99" s="1" t="s">
        <v>154</v>
      </c>
      <c r="B99" s="1">
        <v>24.0</v>
      </c>
      <c r="C99" s="1">
        <v>16.0</v>
      </c>
      <c r="D99" s="1" t="s">
        <v>96</v>
      </c>
      <c r="E99" s="1" t="s">
        <v>133</v>
      </c>
      <c r="J99" s="1" t="s">
        <v>39</v>
      </c>
      <c r="M99" s="38"/>
    </row>
    <row r="100">
      <c r="A100" s="1" t="s">
        <v>519</v>
      </c>
      <c r="B100" s="1">
        <v>24.0</v>
      </c>
      <c r="C100" s="1">
        <v>140.63</v>
      </c>
      <c r="D100" s="1" t="s">
        <v>96</v>
      </c>
      <c r="E100" s="1" t="s">
        <v>133</v>
      </c>
      <c r="J100" s="1" t="s">
        <v>29</v>
      </c>
      <c r="M100" s="38"/>
    </row>
    <row r="101">
      <c r="A101" s="1" t="s">
        <v>419</v>
      </c>
      <c r="B101" s="1">
        <v>24.0</v>
      </c>
      <c r="C101" s="1">
        <v>55.24</v>
      </c>
      <c r="D101" s="1" t="s">
        <v>96</v>
      </c>
      <c r="E101" s="1" t="s">
        <v>133</v>
      </c>
      <c r="J101" s="1" t="s">
        <v>29</v>
      </c>
      <c r="M101" s="38"/>
    </row>
    <row r="102">
      <c r="A102" s="1" t="s">
        <v>539</v>
      </c>
      <c r="B102" s="1">
        <v>25.0</v>
      </c>
      <c r="C102" s="1">
        <v>8.0</v>
      </c>
      <c r="D102" s="1" t="s">
        <v>96</v>
      </c>
      <c r="E102" s="1" t="s">
        <v>133</v>
      </c>
      <c r="J102" s="1" t="s">
        <v>20</v>
      </c>
      <c r="M102" s="38"/>
    </row>
    <row r="103">
      <c r="A103" s="1" t="s">
        <v>397</v>
      </c>
      <c r="B103" s="1">
        <v>25.0</v>
      </c>
      <c r="C103" s="1">
        <v>27.96</v>
      </c>
      <c r="D103" s="1" t="s">
        <v>96</v>
      </c>
      <c r="E103" s="1" t="s">
        <v>133</v>
      </c>
      <c r="J103" s="1" t="s">
        <v>33</v>
      </c>
      <c r="M103" s="38"/>
    </row>
    <row r="104">
      <c r="A104" s="1" t="s">
        <v>247</v>
      </c>
      <c r="B104" s="1">
        <v>25.0</v>
      </c>
      <c r="C104" s="1">
        <v>39.77</v>
      </c>
      <c r="D104" s="1" t="s">
        <v>96</v>
      </c>
      <c r="E104" s="1" t="s">
        <v>133</v>
      </c>
      <c r="J104" s="1" t="s">
        <v>29</v>
      </c>
      <c r="M104" s="38"/>
    </row>
    <row r="105">
      <c r="A105" s="1" t="s">
        <v>540</v>
      </c>
      <c r="B105" s="1">
        <v>25.0</v>
      </c>
      <c r="C105" s="1">
        <v>4.9</v>
      </c>
      <c r="D105" s="1" t="s">
        <v>96</v>
      </c>
      <c r="E105" s="1" t="s">
        <v>133</v>
      </c>
      <c r="J105" s="1" t="s">
        <v>33</v>
      </c>
      <c r="M105" s="38"/>
    </row>
    <row r="106">
      <c r="A106" s="1" t="s">
        <v>448</v>
      </c>
      <c r="B106" s="1">
        <v>25.0</v>
      </c>
      <c r="C106" s="1">
        <v>224.78</v>
      </c>
      <c r="D106" s="1" t="s">
        <v>96</v>
      </c>
      <c r="E106" s="1" t="s">
        <v>133</v>
      </c>
      <c r="J106" s="1" t="s">
        <v>28</v>
      </c>
      <c r="M106" s="38"/>
    </row>
    <row r="107">
      <c r="A107" s="1" t="s">
        <v>25</v>
      </c>
      <c r="B107" s="1">
        <v>26.0</v>
      </c>
      <c r="C107" s="1">
        <v>29.58</v>
      </c>
      <c r="D107" s="1" t="s">
        <v>96</v>
      </c>
      <c r="E107" s="1" t="s">
        <v>133</v>
      </c>
      <c r="J107" s="1" t="s">
        <v>25</v>
      </c>
      <c r="M107" s="38"/>
    </row>
    <row r="108">
      <c r="A108" s="1" t="s">
        <v>247</v>
      </c>
      <c r="B108" s="1">
        <v>26.0</v>
      </c>
      <c r="C108" s="1">
        <v>87.12</v>
      </c>
      <c r="D108" s="1" t="s">
        <v>96</v>
      </c>
      <c r="E108" s="1" t="s">
        <v>133</v>
      </c>
      <c r="J108" s="1" t="s">
        <v>29</v>
      </c>
      <c r="M108" s="38"/>
    </row>
    <row r="109">
      <c r="A109" s="1" t="s">
        <v>541</v>
      </c>
      <c r="B109" s="1">
        <v>26.0</v>
      </c>
      <c r="C109" s="1">
        <v>50.0</v>
      </c>
      <c r="D109" s="1" t="s">
        <v>96</v>
      </c>
      <c r="E109" s="1" t="s">
        <v>133</v>
      </c>
      <c r="J109" s="1" t="s">
        <v>18</v>
      </c>
      <c r="M109" s="38"/>
    </row>
    <row r="110">
      <c r="A110" s="1" t="s">
        <v>542</v>
      </c>
      <c r="B110" s="1">
        <v>14.0</v>
      </c>
      <c r="C110" s="1">
        <v>10.0</v>
      </c>
      <c r="D110" s="1" t="s">
        <v>96</v>
      </c>
      <c r="E110" s="1" t="s">
        <v>156</v>
      </c>
      <c r="J110" s="1" t="s">
        <v>34</v>
      </c>
      <c r="M110" s="38"/>
    </row>
    <row r="111">
      <c r="A111" s="1" t="s">
        <v>543</v>
      </c>
      <c r="B111" s="1">
        <v>12.0</v>
      </c>
      <c r="C111" s="1">
        <v>2.87</v>
      </c>
      <c r="D111" s="1" t="s">
        <v>96</v>
      </c>
      <c r="E111" s="1" t="s">
        <v>156</v>
      </c>
      <c r="J111" s="1" t="s">
        <v>18</v>
      </c>
      <c r="M111" s="38"/>
    </row>
    <row r="112">
      <c r="A112" s="1" t="s">
        <v>544</v>
      </c>
      <c r="B112" s="1">
        <v>15.0</v>
      </c>
      <c r="C112" s="1">
        <v>2.99</v>
      </c>
      <c r="D112" s="1" t="s">
        <v>96</v>
      </c>
      <c r="E112" s="1" t="s">
        <v>156</v>
      </c>
      <c r="J112" s="1" t="s">
        <v>29</v>
      </c>
      <c r="M112" s="38"/>
    </row>
    <row r="113">
      <c r="A113" s="1" t="s">
        <v>257</v>
      </c>
      <c r="B113" s="1">
        <v>15.0</v>
      </c>
      <c r="C113" s="1">
        <v>40.92</v>
      </c>
      <c r="D113" s="1" t="s">
        <v>96</v>
      </c>
      <c r="E113" s="1" t="s">
        <v>156</v>
      </c>
      <c r="J113" s="1" t="s">
        <v>15</v>
      </c>
      <c r="M113" s="38"/>
    </row>
    <row r="114">
      <c r="A114" s="1" t="s">
        <v>545</v>
      </c>
      <c r="B114" s="1">
        <v>16.0</v>
      </c>
      <c r="C114" s="1">
        <v>33.0</v>
      </c>
      <c r="D114" s="1" t="s">
        <v>96</v>
      </c>
      <c r="E114" s="1" t="s">
        <v>156</v>
      </c>
      <c r="J114" s="1" t="s">
        <v>32</v>
      </c>
      <c r="M114" s="38"/>
    </row>
    <row r="115">
      <c r="A115" s="1" t="s">
        <v>546</v>
      </c>
      <c r="B115" s="1">
        <v>16.0</v>
      </c>
      <c r="C115" s="1">
        <v>5.0</v>
      </c>
      <c r="D115" s="1" t="s">
        <v>96</v>
      </c>
      <c r="E115" s="1" t="s">
        <v>156</v>
      </c>
      <c r="J115" s="1" t="s">
        <v>20</v>
      </c>
      <c r="M115" s="38"/>
    </row>
    <row r="116">
      <c r="A116" s="1" t="s">
        <v>103</v>
      </c>
      <c r="B116" s="1">
        <v>21.0</v>
      </c>
      <c r="C116" s="1">
        <v>50.0</v>
      </c>
      <c r="D116" s="1" t="s">
        <v>96</v>
      </c>
      <c r="E116" s="1" t="s">
        <v>156</v>
      </c>
      <c r="J116" s="1" t="s">
        <v>45</v>
      </c>
      <c r="M116" s="38"/>
    </row>
    <row r="117">
      <c r="A117" s="1" t="s">
        <v>103</v>
      </c>
      <c r="B117" s="1">
        <v>27.0</v>
      </c>
      <c r="C117" s="1">
        <v>100.0</v>
      </c>
      <c r="D117" s="1" t="s">
        <v>96</v>
      </c>
      <c r="E117" s="1" t="s">
        <v>156</v>
      </c>
      <c r="J117" s="1" t="s">
        <v>45</v>
      </c>
      <c r="M117" s="38"/>
    </row>
    <row r="118">
      <c r="A118" s="1" t="s">
        <v>264</v>
      </c>
      <c r="B118" s="1">
        <v>29.0</v>
      </c>
      <c r="C118" s="1">
        <v>5.0</v>
      </c>
      <c r="D118" s="1" t="s">
        <v>96</v>
      </c>
      <c r="E118" s="1" t="s">
        <v>156</v>
      </c>
      <c r="J118" s="1" t="s">
        <v>20</v>
      </c>
      <c r="M118" s="38"/>
    </row>
    <row r="119">
      <c r="A119" s="1" t="s">
        <v>547</v>
      </c>
      <c r="B119" s="1">
        <v>28.0</v>
      </c>
      <c r="C119" s="1">
        <v>248.56</v>
      </c>
      <c r="D119" s="1"/>
      <c r="E119" s="1" t="s">
        <v>117</v>
      </c>
      <c r="J119" s="1"/>
      <c r="M119" s="38"/>
    </row>
    <row r="120">
      <c r="A120" s="1"/>
      <c r="B120" s="1"/>
      <c r="C120" s="1"/>
      <c r="J120" s="14"/>
      <c r="M120" s="38"/>
    </row>
    <row r="121">
      <c r="A121" s="1" t="s">
        <v>236</v>
      </c>
      <c r="C121" s="1">
        <f>(5495.73+4139.23)*0.3-(633.9)</f>
        <v>2256.588</v>
      </c>
      <c r="M121" s="38"/>
    </row>
    <row r="122">
      <c r="A122" s="1" t="s">
        <v>50</v>
      </c>
      <c r="C122" s="8">
        <f>SUM(C2:C118)</f>
        <v>13314.44</v>
      </c>
      <c r="D122" s="8">
        <f>(9167.28)-C122-C121</f>
        <v>-6403.748</v>
      </c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M150" s="36" t="s">
        <v>240</v>
      </c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  <row r="1038">
      <c r="M1038" s="38"/>
    </row>
    <row r="1039">
      <c r="M1039" s="38"/>
    </row>
    <row r="1040">
      <c r="M1040" s="38"/>
    </row>
    <row r="1041">
      <c r="M1041" s="38"/>
    </row>
    <row r="1042">
      <c r="M1042" s="38"/>
    </row>
    <row r="1043">
      <c r="M1043" s="38"/>
    </row>
    <row r="1044">
      <c r="M1044" s="38"/>
    </row>
    <row r="1045">
      <c r="M1045" s="38"/>
    </row>
    <row r="1046">
      <c r="M1046" s="38"/>
    </row>
    <row r="1047">
      <c r="M1047" s="38"/>
    </row>
    <row r="1048">
      <c r="M1048" s="38"/>
    </row>
    <row r="1049">
      <c r="M1049" s="38"/>
    </row>
  </sheetData>
  <autoFilter ref="$A$1:$BV$119"/>
  <conditionalFormatting sqref="B172">
    <cfRule type="cellIs" dxfId="1" priority="1" operator="greaterThanOrEqual">
      <formula>0</formula>
    </cfRule>
  </conditionalFormatting>
  <conditionalFormatting sqref="B172">
    <cfRule type="cellIs" dxfId="2" priority="2" operator="lessThan">
      <formula>0</formula>
    </cfRule>
  </conditionalFormatting>
  <dataValidations>
    <dataValidation type="list" allowBlank="1" showErrorMessage="1" sqref="J2:J120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veicular,ferias,projetos,dentista,pix aline,painel solar,reforma casa"</formula1>
    </dataValidation>
  </dataValidation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4" max="4" width="14.63"/>
    <col customWidth="1" min="5" max="5" width="16.38"/>
  </cols>
  <sheetData>
    <row r="1">
      <c r="A1" s="1" t="s">
        <v>412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685.0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104</v>
      </c>
      <c r="B4" s="1">
        <v>5.0</v>
      </c>
      <c r="C4" s="37">
        <v>140.0</v>
      </c>
      <c r="D4" s="1" t="s">
        <v>96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>
      <c r="A5" s="2" t="s">
        <v>106</v>
      </c>
      <c r="B5" s="2">
        <v>14.0</v>
      </c>
      <c r="C5" s="40">
        <v>600.0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132.5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548</v>
      </c>
      <c r="B7" s="1">
        <v>20.0</v>
      </c>
      <c r="C7" s="37">
        <v>99.9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0.0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24.9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0.0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244.12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89.9+139.9</f>
        <v>229.8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10.0</v>
      </c>
      <c r="C18" s="37">
        <v>20.0</v>
      </c>
      <c r="D18" s="1" t="s">
        <v>112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549</v>
      </c>
      <c r="B19" s="1">
        <v>1.0</v>
      </c>
      <c r="C19" s="1">
        <v>58.0</v>
      </c>
      <c r="D19" s="1" t="s">
        <v>112</v>
      </c>
      <c r="E19" s="1" t="s">
        <v>550</v>
      </c>
      <c r="G19" s="1"/>
      <c r="J19" s="1" t="s">
        <v>32</v>
      </c>
      <c r="M19" s="38"/>
    </row>
    <row r="20">
      <c r="A20" s="1" t="s">
        <v>551</v>
      </c>
      <c r="B20" s="1">
        <v>3.0</v>
      </c>
      <c r="C20" s="1">
        <v>10.0</v>
      </c>
      <c r="D20" s="1" t="s">
        <v>96</v>
      </c>
      <c r="E20" s="1" t="s">
        <v>550</v>
      </c>
      <c r="G20" s="1"/>
      <c r="J20" s="1" t="s">
        <v>34</v>
      </c>
      <c r="M20" s="38"/>
    </row>
    <row r="21">
      <c r="A21" s="1" t="s">
        <v>552</v>
      </c>
      <c r="B21" s="1">
        <v>3.0</v>
      </c>
      <c r="C21" s="1">
        <v>8.0</v>
      </c>
      <c r="D21" s="1" t="s">
        <v>96</v>
      </c>
      <c r="E21" s="1" t="s">
        <v>550</v>
      </c>
      <c r="G21" s="1"/>
      <c r="J21" s="1" t="s">
        <v>20</v>
      </c>
      <c r="M21" s="38"/>
    </row>
    <row r="22">
      <c r="A22" s="1" t="s">
        <v>553</v>
      </c>
      <c r="B22" s="1">
        <v>4.0</v>
      </c>
      <c r="C22" s="1">
        <v>103.9</v>
      </c>
      <c r="D22" s="1" t="s">
        <v>112</v>
      </c>
      <c r="E22" s="1" t="s">
        <v>550</v>
      </c>
      <c r="G22" s="1"/>
      <c r="J22" s="1" t="s">
        <v>28</v>
      </c>
      <c r="M22" s="38"/>
    </row>
    <row r="23">
      <c r="A23" s="1" t="s">
        <v>554</v>
      </c>
      <c r="B23" s="1">
        <v>7.0</v>
      </c>
      <c r="C23" s="1">
        <v>150.0</v>
      </c>
      <c r="D23" s="1" t="s">
        <v>96</v>
      </c>
      <c r="E23" s="1" t="s">
        <v>550</v>
      </c>
      <c r="G23" s="1"/>
      <c r="J23" s="1" t="s">
        <v>45</v>
      </c>
      <c r="K23" s="42"/>
      <c r="M23" s="38"/>
    </row>
    <row r="24">
      <c r="A24" s="1" t="s">
        <v>555</v>
      </c>
      <c r="B24" s="1">
        <v>8.0</v>
      </c>
      <c r="C24" s="1">
        <v>30.0</v>
      </c>
      <c r="D24" s="1" t="s">
        <v>96</v>
      </c>
      <c r="E24" s="1" t="s">
        <v>556</v>
      </c>
      <c r="J24" s="1" t="s">
        <v>21</v>
      </c>
      <c r="M24" s="38"/>
      <c r="N24" s="42"/>
    </row>
    <row r="25">
      <c r="A25" s="1" t="s">
        <v>557</v>
      </c>
      <c r="B25" s="1">
        <v>8.0</v>
      </c>
      <c r="C25" s="1">
        <v>132.94</v>
      </c>
      <c r="D25" s="1" t="s">
        <v>96</v>
      </c>
      <c r="E25" s="1" t="s">
        <v>550</v>
      </c>
      <c r="G25" s="1"/>
      <c r="J25" s="1" t="s">
        <v>15</v>
      </c>
      <c r="M25" s="38"/>
    </row>
    <row r="26">
      <c r="A26" s="1" t="s">
        <v>557</v>
      </c>
      <c r="B26" s="1">
        <v>8.0</v>
      </c>
      <c r="C26" s="1">
        <v>327.03</v>
      </c>
      <c r="D26" s="1" t="s">
        <v>96</v>
      </c>
      <c r="E26" s="1" t="s">
        <v>550</v>
      </c>
      <c r="G26" s="1"/>
      <c r="J26" s="1" t="s">
        <v>15</v>
      </c>
      <c r="M26" s="38"/>
      <c r="N26" s="42"/>
    </row>
    <row r="27">
      <c r="A27" s="1" t="s">
        <v>558</v>
      </c>
      <c r="B27" s="1">
        <v>11.0</v>
      </c>
      <c r="C27" s="1">
        <v>10.0</v>
      </c>
      <c r="D27" s="1" t="s">
        <v>96</v>
      </c>
      <c r="E27" s="1" t="s">
        <v>550</v>
      </c>
      <c r="G27" s="1"/>
      <c r="J27" s="1" t="s">
        <v>34</v>
      </c>
      <c r="M27" s="38"/>
    </row>
    <row r="28">
      <c r="A28" s="1" t="s">
        <v>559</v>
      </c>
      <c r="B28" s="1">
        <v>14.0</v>
      </c>
      <c r="C28" s="1">
        <v>8.0</v>
      </c>
      <c r="D28" s="1" t="s">
        <v>96</v>
      </c>
      <c r="E28" s="1" t="s">
        <v>550</v>
      </c>
      <c r="G28" s="1"/>
      <c r="J28" s="1" t="s">
        <v>20</v>
      </c>
      <c r="M28" s="38"/>
    </row>
    <row r="29">
      <c r="A29" s="1" t="s">
        <v>560</v>
      </c>
      <c r="B29" s="1">
        <v>14.0</v>
      </c>
      <c r="C29" s="1">
        <v>3.0</v>
      </c>
      <c r="D29" s="1" t="s">
        <v>96</v>
      </c>
      <c r="E29" s="1" t="s">
        <v>550</v>
      </c>
      <c r="G29" s="1"/>
      <c r="J29" s="1" t="s">
        <v>34</v>
      </c>
      <c r="M29" s="38"/>
    </row>
    <row r="30">
      <c r="A30" s="1" t="s">
        <v>561</v>
      </c>
      <c r="B30" s="1">
        <v>15.0</v>
      </c>
      <c r="C30" s="1">
        <v>21.0</v>
      </c>
      <c r="D30" s="1" t="s">
        <v>96</v>
      </c>
      <c r="E30" s="1" t="s">
        <v>550</v>
      </c>
      <c r="G30" s="1"/>
      <c r="J30" s="1" t="s">
        <v>34</v>
      </c>
      <c r="M30" s="38"/>
    </row>
    <row r="31">
      <c r="A31" s="1" t="s">
        <v>562</v>
      </c>
      <c r="B31" s="1">
        <v>15.0</v>
      </c>
      <c r="C31" s="1">
        <v>208.46</v>
      </c>
      <c r="D31" s="1" t="s">
        <v>96</v>
      </c>
      <c r="E31" s="1" t="s">
        <v>550</v>
      </c>
      <c r="G31" s="1"/>
      <c r="J31" s="1" t="s">
        <v>42</v>
      </c>
      <c r="M31" s="38"/>
    </row>
    <row r="32">
      <c r="A32" s="1" t="s">
        <v>563</v>
      </c>
      <c r="B32" s="1">
        <v>22.0</v>
      </c>
      <c r="C32" s="1">
        <v>3.74</v>
      </c>
      <c r="D32" s="1" t="s">
        <v>96</v>
      </c>
      <c r="E32" s="1" t="s">
        <v>564</v>
      </c>
      <c r="G32" s="1"/>
      <c r="J32" s="1" t="s">
        <v>24</v>
      </c>
      <c r="M32" s="38"/>
    </row>
    <row r="33">
      <c r="A33" s="1" t="s">
        <v>565</v>
      </c>
      <c r="B33" s="1">
        <v>24.0</v>
      </c>
      <c r="C33" s="1">
        <v>17.99</v>
      </c>
      <c r="D33" s="1" t="s">
        <v>96</v>
      </c>
      <c r="E33" s="1" t="s">
        <v>550</v>
      </c>
      <c r="G33" s="1"/>
      <c r="J33" s="1" t="s">
        <v>28</v>
      </c>
      <c r="M33" s="38"/>
    </row>
    <row r="34">
      <c r="A34" s="1" t="s">
        <v>566</v>
      </c>
      <c r="B34" s="1">
        <v>28.0</v>
      </c>
      <c r="C34" s="1">
        <v>281.29</v>
      </c>
      <c r="D34" s="1" t="s">
        <v>96</v>
      </c>
      <c r="E34" s="1" t="s">
        <v>49</v>
      </c>
      <c r="G34" s="1"/>
      <c r="J34" s="1" t="s">
        <v>42</v>
      </c>
      <c r="M34" s="38"/>
    </row>
    <row r="35">
      <c r="A35" s="1" t="s">
        <v>555</v>
      </c>
      <c r="B35" s="1">
        <v>28.0</v>
      </c>
      <c r="C35" s="1">
        <v>20.0</v>
      </c>
      <c r="D35" s="1" t="s">
        <v>96</v>
      </c>
      <c r="E35" s="1" t="s">
        <v>556</v>
      </c>
      <c r="G35" s="1"/>
      <c r="J35" s="1" t="s">
        <v>21</v>
      </c>
      <c r="M35" s="38"/>
    </row>
    <row r="36">
      <c r="A36" s="1" t="s">
        <v>567</v>
      </c>
      <c r="B36" s="1">
        <v>28.0</v>
      </c>
      <c r="C36" s="1">
        <v>15.0</v>
      </c>
      <c r="D36" s="1" t="s">
        <v>96</v>
      </c>
      <c r="E36" s="1" t="s">
        <v>550</v>
      </c>
      <c r="G36" s="1"/>
      <c r="J36" s="1" t="s">
        <v>34</v>
      </c>
      <c r="M36" s="38"/>
    </row>
    <row r="37">
      <c r="A37" s="1" t="s">
        <v>568</v>
      </c>
      <c r="B37" s="1">
        <v>28.0</v>
      </c>
      <c r="C37" s="1">
        <v>90.0</v>
      </c>
      <c r="D37" s="1" t="s">
        <v>96</v>
      </c>
      <c r="E37" s="1" t="s">
        <v>550</v>
      </c>
      <c r="G37" s="1"/>
      <c r="J37" s="1" t="s">
        <v>31</v>
      </c>
      <c r="M37" s="38"/>
    </row>
    <row r="38">
      <c r="A38" s="1" t="s">
        <v>569</v>
      </c>
      <c r="B38" s="1">
        <v>29.0</v>
      </c>
      <c r="C38" s="1">
        <v>-730.0</v>
      </c>
      <c r="D38" s="1" t="s">
        <v>96</v>
      </c>
      <c r="E38" s="1" t="s">
        <v>550</v>
      </c>
      <c r="G38" s="1"/>
      <c r="J38" s="1" t="s">
        <v>28</v>
      </c>
      <c r="M38" s="36" t="s">
        <v>43</v>
      </c>
    </row>
    <row r="39">
      <c r="A39" s="1" t="s">
        <v>509</v>
      </c>
      <c r="B39" s="1">
        <v>0.0</v>
      </c>
      <c r="C39" s="1">
        <v>328.55</v>
      </c>
      <c r="D39" s="1" t="s">
        <v>96</v>
      </c>
      <c r="E39" s="1" t="s">
        <v>133</v>
      </c>
      <c r="G39" s="1"/>
      <c r="J39" s="1" t="s">
        <v>15</v>
      </c>
      <c r="M39" s="38"/>
      <c r="N39" s="47">
        <v>45872.0</v>
      </c>
    </row>
    <row r="40">
      <c r="A40" s="1" t="s">
        <v>570</v>
      </c>
      <c r="B40" s="1">
        <v>0.0</v>
      </c>
      <c r="C40" s="1">
        <v>149.97</v>
      </c>
      <c r="D40" s="1" t="s">
        <v>96</v>
      </c>
      <c r="E40" s="1" t="s">
        <v>133</v>
      </c>
      <c r="G40" s="1"/>
      <c r="J40" s="1" t="s">
        <v>31</v>
      </c>
      <c r="M40" s="38"/>
      <c r="N40" s="47">
        <v>45690.0</v>
      </c>
    </row>
    <row r="41">
      <c r="A41" s="1" t="s">
        <v>510</v>
      </c>
      <c r="B41" s="1">
        <v>0.0</v>
      </c>
      <c r="C41" s="1">
        <v>777.56</v>
      </c>
      <c r="D41" s="1" t="s">
        <v>96</v>
      </c>
      <c r="E41" s="1" t="s">
        <v>133</v>
      </c>
      <c r="G41" s="1"/>
      <c r="J41" s="1" t="s">
        <v>46</v>
      </c>
      <c r="M41" s="38"/>
      <c r="N41" s="47">
        <v>45993.0</v>
      </c>
    </row>
    <row r="42">
      <c r="A42" s="1" t="s">
        <v>571</v>
      </c>
      <c r="B42" s="1">
        <v>0.0</v>
      </c>
      <c r="C42" s="1">
        <v>53.75</v>
      </c>
      <c r="D42" s="1" t="s">
        <v>96</v>
      </c>
      <c r="E42" s="1" t="s">
        <v>133</v>
      </c>
      <c r="G42" s="1"/>
      <c r="J42" s="1" t="s">
        <v>18</v>
      </c>
      <c r="L42" s="42"/>
      <c r="M42" s="38"/>
    </row>
    <row r="43">
      <c r="A43" s="1" t="s">
        <v>572</v>
      </c>
      <c r="B43" s="1">
        <v>0.0</v>
      </c>
      <c r="C43" s="1">
        <v>65.8</v>
      </c>
      <c r="D43" s="1" t="s">
        <v>96</v>
      </c>
      <c r="E43" s="1" t="s">
        <v>133</v>
      </c>
      <c r="G43" s="1"/>
      <c r="J43" s="1" t="s">
        <v>34</v>
      </c>
      <c r="M43" s="38"/>
    </row>
    <row r="44">
      <c r="A44" s="1" t="s">
        <v>573</v>
      </c>
      <c r="B44" s="1">
        <v>0.0</v>
      </c>
      <c r="C44" s="1">
        <v>115.28</v>
      </c>
      <c r="D44" s="1" t="s">
        <v>96</v>
      </c>
      <c r="E44" s="1" t="s">
        <v>133</v>
      </c>
      <c r="G44" s="1"/>
      <c r="J44" s="1" t="s">
        <v>29</v>
      </c>
      <c r="M44" s="38"/>
    </row>
    <row r="45">
      <c r="A45" s="1" t="s">
        <v>574</v>
      </c>
      <c r="B45" s="1">
        <v>0.0</v>
      </c>
      <c r="C45" s="1">
        <v>60.0</v>
      </c>
      <c r="D45" s="1" t="s">
        <v>96</v>
      </c>
      <c r="E45" s="1" t="s">
        <v>133</v>
      </c>
      <c r="G45" s="1"/>
      <c r="J45" s="1" t="s">
        <v>32</v>
      </c>
      <c r="M45" s="38"/>
    </row>
    <row r="46">
      <c r="A46" s="1" t="s">
        <v>575</v>
      </c>
      <c r="B46" s="1">
        <v>24.0</v>
      </c>
      <c r="C46" s="1">
        <v>49.68</v>
      </c>
      <c r="D46" s="1" t="s">
        <v>96</v>
      </c>
      <c r="E46" s="1" t="s">
        <v>133</v>
      </c>
      <c r="G46" s="1"/>
      <c r="J46" s="1" t="s">
        <v>18</v>
      </c>
      <c r="M46" s="38"/>
    </row>
    <row r="47">
      <c r="A47" s="1" t="s">
        <v>576</v>
      </c>
      <c r="B47" s="1">
        <v>24.0</v>
      </c>
      <c r="C47" s="1">
        <v>27.8</v>
      </c>
      <c r="D47" s="1" t="s">
        <v>96</v>
      </c>
      <c r="E47" s="1" t="s">
        <v>133</v>
      </c>
      <c r="G47" s="1"/>
      <c r="J47" s="1" t="s">
        <v>24</v>
      </c>
      <c r="M47" s="38"/>
    </row>
    <row r="48">
      <c r="A48" s="1" t="s">
        <v>577</v>
      </c>
      <c r="B48" s="1">
        <v>23.0</v>
      </c>
      <c r="C48" s="1">
        <v>26.98</v>
      </c>
      <c r="D48" s="1" t="s">
        <v>96</v>
      </c>
      <c r="E48" s="1" t="s">
        <v>133</v>
      </c>
      <c r="G48" s="1"/>
      <c r="J48" s="1" t="s">
        <v>24</v>
      </c>
      <c r="M48" s="38"/>
    </row>
    <row r="49">
      <c r="A49" s="1" t="s">
        <v>577</v>
      </c>
      <c r="B49" s="1">
        <v>23.0</v>
      </c>
      <c r="C49" s="1">
        <v>37.68</v>
      </c>
      <c r="D49" s="1" t="s">
        <v>96</v>
      </c>
      <c r="E49" s="1" t="s">
        <v>133</v>
      </c>
      <c r="G49" s="1"/>
      <c r="J49" s="1" t="s">
        <v>24</v>
      </c>
      <c r="M49" s="38"/>
    </row>
    <row r="50">
      <c r="A50" s="1" t="s">
        <v>502</v>
      </c>
      <c r="B50" s="1">
        <v>23.0</v>
      </c>
      <c r="C50" s="1">
        <v>50.37</v>
      </c>
      <c r="D50" s="1" t="s">
        <v>96</v>
      </c>
      <c r="E50" s="1" t="s">
        <v>133</v>
      </c>
      <c r="G50" s="1"/>
      <c r="J50" s="1" t="s">
        <v>29</v>
      </c>
      <c r="M50" s="38"/>
    </row>
    <row r="51">
      <c r="A51" s="1" t="s">
        <v>578</v>
      </c>
      <c r="B51" s="1">
        <v>23.0</v>
      </c>
      <c r="C51" s="1">
        <v>26.37</v>
      </c>
      <c r="D51" s="1" t="s">
        <v>96</v>
      </c>
      <c r="E51" s="1" t="s">
        <v>133</v>
      </c>
      <c r="G51" s="1"/>
      <c r="J51" s="1" t="s">
        <v>28</v>
      </c>
      <c r="M51" s="38"/>
    </row>
    <row r="52">
      <c r="A52" s="1" t="s">
        <v>500</v>
      </c>
      <c r="B52" s="1">
        <v>22.0</v>
      </c>
      <c r="C52" s="1">
        <v>12.4</v>
      </c>
      <c r="D52" s="1" t="s">
        <v>96</v>
      </c>
      <c r="E52" s="1" t="s">
        <v>133</v>
      </c>
      <c r="G52" s="1"/>
      <c r="J52" s="1" t="s">
        <v>39</v>
      </c>
      <c r="M52" s="38"/>
    </row>
    <row r="53">
      <c r="A53" s="1" t="s">
        <v>579</v>
      </c>
      <c r="B53" s="1">
        <v>19.0</v>
      </c>
      <c r="C53" s="1">
        <v>251.72</v>
      </c>
      <c r="D53" s="1" t="s">
        <v>96</v>
      </c>
      <c r="E53" s="1" t="s">
        <v>133</v>
      </c>
      <c r="G53" s="1"/>
      <c r="J53" s="1" t="s">
        <v>29</v>
      </c>
      <c r="M53" s="38"/>
    </row>
    <row r="54">
      <c r="A54" s="1" t="s">
        <v>502</v>
      </c>
      <c r="B54" s="1">
        <v>19.0</v>
      </c>
      <c r="C54" s="1">
        <v>48.33</v>
      </c>
      <c r="D54" s="1" t="s">
        <v>96</v>
      </c>
      <c r="E54" s="1" t="s">
        <v>133</v>
      </c>
      <c r="G54" s="1"/>
      <c r="J54" s="1" t="s">
        <v>29</v>
      </c>
      <c r="M54" s="38"/>
    </row>
    <row r="55">
      <c r="A55" s="1" t="s">
        <v>580</v>
      </c>
      <c r="B55" s="1">
        <v>19.0</v>
      </c>
      <c r="C55" s="1">
        <v>148.86</v>
      </c>
      <c r="D55" s="1" t="s">
        <v>96</v>
      </c>
      <c r="E55" s="1" t="s">
        <v>133</v>
      </c>
      <c r="G55" s="1"/>
      <c r="J55" s="1" t="s">
        <v>15</v>
      </c>
      <c r="M55" s="38"/>
    </row>
    <row r="56">
      <c r="A56" s="1" t="s">
        <v>581</v>
      </c>
      <c r="B56" s="1">
        <v>17.0</v>
      </c>
      <c r="C56" s="1">
        <v>68.3</v>
      </c>
      <c r="D56" s="1" t="s">
        <v>96</v>
      </c>
      <c r="E56" s="1" t="s">
        <v>133</v>
      </c>
      <c r="G56" s="1"/>
      <c r="J56" s="1" t="s">
        <v>34</v>
      </c>
      <c r="M56" s="38"/>
    </row>
    <row r="57">
      <c r="A57" s="1" t="s">
        <v>582</v>
      </c>
      <c r="B57" s="1">
        <v>17.0</v>
      </c>
      <c r="C57" s="1">
        <v>111.92</v>
      </c>
      <c r="D57" s="1" t="s">
        <v>96</v>
      </c>
      <c r="E57" s="1" t="s">
        <v>133</v>
      </c>
      <c r="G57" s="1"/>
      <c r="J57" s="1" t="s">
        <v>33</v>
      </c>
      <c r="M57" s="38"/>
    </row>
    <row r="58">
      <c r="A58" s="1" t="s">
        <v>583</v>
      </c>
      <c r="B58" s="1">
        <v>17.0</v>
      </c>
      <c r="C58" s="1">
        <v>237.07</v>
      </c>
      <c r="D58" s="1" t="s">
        <v>96</v>
      </c>
      <c r="E58" s="1" t="s">
        <v>133</v>
      </c>
      <c r="G58" s="1"/>
      <c r="J58" s="1" t="s">
        <v>29</v>
      </c>
      <c r="M58" s="38"/>
    </row>
    <row r="59">
      <c r="A59" s="1" t="s">
        <v>584</v>
      </c>
      <c r="B59" s="1">
        <v>17.0</v>
      </c>
      <c r="C59" s="1">
        <v>65.72</v>
      </c>
      <c r="D59" s="1" t="s">
        <v>96</v>
      </c>
      <c r="E59" s="1" t="s">
        <v>133</v>
      </c>
      <c r="G59" s="1"/>
      <c r="J59" s="1" t="s">
        <v>31</v>
      </c>
      <c r="M59" s="38"/>
    </row>
    <row r="60">
      <c r="A60" s="1" t="s">
        <v>575</v>
      </c>
      <c r="B60" s="1">
        <v>17.0</v>
      </c>
      <c r="C60" s="1">
        <v>47.2</v>
      </c>
      <c r="D60" s="1" t="s">
        <v>96</v>
      </c>
      <c r="E60" s="1" t="s">
        <v>133</v>
      </c>
      <c r="G60" s="1"/>
      <c r="J60" s="1" t="s">
        <v>18</v>
      </c>
      <c r="M60" s="38"/>
    </row>
    <row r="61">
      <c r="A61" s="1" t="s">
        <v>505</v>
      </c>
      <c r="B61" s="1">
        <v>17.0</v>
      </c>
      <c r="C61" s="1">
        <v>12.4</v>
      </c>
      <c r="D61" s="1" t="s">
        <v>96</v>
      </c>
      <c r="E61" s="1" t="s">
        <v>133</v>
      </c>
      <c r="G61" s="1"/>
      <c r="J61" s="1" t="s">
        <v>39</v>
      </c>
      <c r="M61" s="38"/>
    </row>
    <row r="62">
      <c r="A62" s="1" t="s">
        <v>585</v>
      </c>
      <c r="B62" s="1">
        <v>15.0</v>
      </c>
      <c r="C62" s="1">
        <v>15.96</v>
      </c>
      <c r="D62" s="1" t="s">
        <v>96</v>
      </c>
      <c r="E62" s="1" t="s">
        <v>133</v>
      </c>
      <c r="G62" s="1"/>
      <c r="J62" s="1" t="s">
        <v>29</v>
      </c>
      <c r="M62" s="38"/>
    </row>
    <row r="63">
      <c r="A63" s="1" t="s">
        <v>505</v>
      </c>
      <c r="B63" s="1">
        <v>15.0</v>
      </c>
      <c r="C63" s="1">
        <v>4.0</v>
      </c>
      <c r="D63" s="1" t="s">
        <v>96</v>
      </c>
      <c r="E63" s="1" t="s">
        <v>133</v>
      </c>
      <c r="G63" s="1"/>
      <c r="J63" s="1" t="s">
        <v>39</v>
      </c>
      <c r="M63" s="38"/>
    </row>
    <row r="64">
      <c r="A64" s="1" t="s">
        <v>576</v>
      </c>
      <c r="B64" s="1">
        <v>15.0</v>
      </c>
      <c r="C64" s="1">
        <v>8.96</v>
      </c>
      <c r="D64" s="1" t="s">
        <v>96</v>
      </c>
      <c r="E64" s="1" t="s">
        <v>133</v>
      </c>
      <c r="G64" s="1"/>
      <c r="J64" s="1" t="s">
        <v>24</v>
      </c>
      <c r="M64" s="36" t="s">
        <v>476</v>
      </c>
    </row>
    <row r="65">
      <c r="A65" s="1" t="s">
        <v>586</v>
      </c>
      <c r="B65" s="1">
        <v>13.0</v>
      </c>
      <c r="C65" s="1">
        <v>68.95</v>
      </c>
      <c r="D65" s="1" t="s">
        <v>96</v>
      </c>
      <c r="E65" s="1" t="s">
        <v>133</v>
      </c>
      <c r="G65" s="1"/>
      <c r="J65" s="1" t="s">
        <v>33</v>
      </c>
      <c r="L65" s="42">
        <v>45323.0</v>
      </c>
      <c r="M65" s="36" t="s">
        <v>476</v>
      </c>
    </row>
    <row r="66">
      <c r="A66" s="1" t="s">
        <v>587</v>
      </c>
      <c r="B66" s="1">
        <v>12.0</v>
      </c>
      <c r="C66" s="1">
        <v>23.11</v>
      </c>
      <c r="D66" s="1" t="s">
        <v>96</v>
      </c>
      <c r="E66" s="1" t="s">
        <v>133</v>
      </c>
      <c r="G66" s="1"/>
      <c r="J66" s="1" t="s">
        <v>24</v>
      </c>
      <c r="M66" s="36" t="s">
        <v>476</v>
      </c>
    </row>
    <row r="67">
      <c r="A67" s="1" t="s">
        <v>573</v>
      </c>
      <c r="B67" s="1">
        <v>12.0</v>
      </c>
      <c r="C67" s="1">
        <v>171.78</v>
      </c>
      <c r="D67" s="1" t="s">
        <v>96</v>
      </c>
      <c r="E67" s="1" t="s">
        <v>133</v>
      </c>
      <c r="J67" s="1" t="s">
        <v>29</v>
      </c>
      <c r="M67" s="36" t="s">
        <v>476</v>
      </c>
    </row>
    <row r="68">
      <c r="A68" s="1" t="s">
        <v>588</v>
      </c>
      <c r="B68" s="1">
        <v>12.0</v>
      </c>
      <c r="C68" s="1">
        <v>61.67</v>
      </c>
      <c r="D68" s="1" t="s">
        <v>96</v>
      </c>
      <c r="E68" s="1" t="s">
        <v>133</v>
      </c>
      <c r="J68" s="1" t="s">
        <v>29</v>
      </c>
      <c r="M68" s="36" t="s">
        <v>476</v>
      </c>
    </row>
    <row r="69">
      <c r="A69" s="1" t="s">
        <v>589</v>
      </c>
      <c r="B69" s="1">
        <v>12.0</v>
      </c>
      <c r="C69" s="1">
        <v>109.0</v>
      </c>
      <c r="D69" s="1" t="s">
        <v>96</v>
      </c>
      <c r="E69" s="1" t="s">
        <v>117</v>
      </c>
      <c r="J69" s="1" t="s">
        <v>40</v>
      </c>
      <c r="M69" s="36" t="s">
        <v>476</v>
      </c>
    </row>
    <row r="70">
      <c r="A70" s="1" t="s">
        <v>575</v>
      </c>
      <c r="B70" s="1">
        <v>12.0</v>
      </c>
      <c r="C70" s="1">
        <v>60.33</v>
      </c>
      <c r="D70" s="1" t="s">
        <v>96</v>
      </c>
      <c r="E70" s="1" t="s">
        <v>133</v>
      </c>
      <c r="J70" s="1" t="s">
        <v>18</v>
      </c>
      <c r="M70" s="36" t="s">
        <v>476</v>
      </c>
    </row>
    <row r="71">
      <c r="A71" s="1" t="s">
        <v>590</v>
      </c>
      <c r="B71" s="1">
        <v>12.0</v>
      </c>
      <c r="C71" s="1">
        <v>24.0</v>
      </c>
      <c r="D71" s="1" t="s">
        <v>96</v>
      </c>
      <c r="E71" s="1" t="s">
        <v>133</v>
      </c>
      <c r="J71" s="1" t="s">
        <v>32</v>
      </c>
      <c r="M71" s="36" t="s">
        <v>476</v>
      </c>
    </row>
    <row r="72">
      <c r="A72" s="1" t="s">
        <v>500</v>
      </c>
      <c r="B72" s="1">
        <v>12.0</v>
      </c>
      <c r="C72" s="1">
        <v>7.0</v>
      </c>
      <c r="D72" s="1" t="s">
        <v>96</v>
      </c>
      <c r="E72" s="1" t="s">
        <v>133</v>
      </c>
      <c r="H72" s="1" t="s">
        <v>129</v>
      </c>
      <c r="I72" s="1" t="s">
        <v>129</v>
      </c>
      <c r="J72" s="1" t="s">
        <v>39</v>
      </c>
      <c r="K72" s="42">
        <v>44959.0</v>
      </c>
      <c r="M72" s="36" t="s">
        <v>476</v>
      </c>
    </row>
    <row r="73">
      <c r="A73" s="1" t="s">
        <v>576</v>
      </c>
      <c r="B73" s="1">
        <v>10.0</v>
      </c>
      <c r="C73" s="1">
        <v>14.6</v>
      </c>
      <c r="D73" s="1" t="s">
        <v>96</v>
      </c>
      <c r="E73" s="1" t="s">
        <v>133</v>
      </c>
      <c r="J73" s="1" t="s">
        <v>24</v>
      </c>
      <c r="M73" s="36" t="s">
        <v>476</v>
      </c>
    </row>
    <row r="74">
      <c r="A74" s="1" t="s">
        <v>574</v>
      </c>
      <c r="B74" s="1">
        <v>10.0</v>
      </c>
      <c r="C74" s="1">
        <v>42.0</v>
      </c>
      <c r="D74" s="1" t="s">
        <v>96</v>
      </c>
      <c r="E74" s="1" t="s">
        <v>133</v>
      </c>
      <c r="J74" s="1" t="s">
        <v>32</v>
      </c>
      <c r="M74" s="36" t="s">
        <v>476</v>
      </c>
    </row>
    <row r="75">
      <c r="A75" s="1" t="s">
        <v>591</v>
      </c>
      <c r="B75" s="1">
        <v>9.0</v>
      </c>
      <c r="C75" s="1">
        <v>40.0</v>
      </c>
      <c r="D75" s="1" t="s">
        <v>96</v>
      </c>
      <c r="E75" s="1" t="s">
        <v>133</v>
      </c>
      <c r="J75" s="1" t="s">
        <v>18</v>
      </c>
      <c r="M75" s="36" t="s">
        <v>476</v>
      </c>
    </row>
    <row r="76">
      <c r="A76" s="1" t="s">
        <v>505</v>
      </c>
      <c r="B76" s="1">
        <v>9.0</v>
      </c>
      <c r="C76" s="1">
        <v>3.0</v>
      </c>
      <c r="D76" s="1" t="s">
        <v>96</v>
      </c>
      <c r="E76" s="1" t="s">
        <v>133</v>
      </c>
      <c r="J76" s="1" t="s">
        <v>39</v>
      </c>
      <c r="M76" s="36" t="s">
        <v>476</v>
      </c>
    </row>
    <row r="77">
      <c r="A77" s="1" t="s">
        <v>581</v>
      </c>
      <c r="B77" s="1">
        <v>8.0</v>
      </c>
      <c r="C77" s="1">
        <v>65.8</v>
      </c>
      <c r="D77" s="1" t="s">
        <v>96</v>
      </c>
      <c r="E77" s="1" t="s">
        <v>133</v>
      </c>
      <c r="J77" s="1" t="s">
        <v>34</v>
      </c>
      <c r="M77" s="36" t="s">
        <v>476</v>
      </c>
    </row>
    <row r="78">
      <c r="A78" s="1" t="s">
        <v>500</v>
      </c>
      <c r="B78" s="1">
        <v>7.0</v>
      </c>
      <c r="C78" s="1">
        <v>4.0</v>
      </c>
      <c r="D78" s="1" t="s">
        <v>96</v>
      </c>
      <c r="E78" s="1" t="s">
        <v>133</v>
      </c>
      <c r="J78" s="1" t="s">
        <v>39</v>
      </c>
      <c r="M78" s="36" t="s">
        <v>476</v>
      </c>
    </row>
    <row r="79">
      <c r="A79" s="1" t="s">
        <v>592</v>
      </c>
      <c r="B79" s="1">
        <v>6.0</v>
      </c>
      <c r="C79" s="1">
        <v>461.53</v>
      </c>
      <c r="D79" s="1" t="s">
        <v>96</v>
      </c>
      <c r="E79" s="1" t="s">
        <v>133</v>
      </c>
      <c r="J79" s="1" t="s">
        <v>28</v>
      </c>
      <c r="M79" s="38"/>
    </row>
    <row r="80">
      <c r="A80" s="1" t="s">
        <v>593</v>
      </c>
      <c r="B80" s="1">
        <v>5.0</v>
      </c>
      <c r="C80" s="1">
        <v>84.87</v>
      </c>
      <c r="D80" s="1" t="s">
        <v>96</v>
      </c>
      <c r="E80" s="1" t="s">
        <v>133</v>
      </c>
      <c r="J80" s="1" t="s">
        <v>25</v>
      </c>
      <c r="M80" s="38"/>
    </row>
    <row r="81">
      <c r="A81" s="1" t="s">
        <v>594</v>
      </c>
      <c r="B81" s="1">
        <v>5.0</v>
      </c>
      <c r="C81" s="1">
        <v>9.5</v>
      </c>
      <c r="D81" s="1" t="s">
        <v>96</v>
      </c>
      <c r="E81" s="1" t="s">
        <v>133</v>
      </c>
      <c r="J81" s="1" t="s">
        <v>34</v>
      </c>
      <c r="M81" s="38"/>
    </row>
    <row r="82">
      <c r="A82" s="1" t="s">
        <v>595</v>
      </c>
      <c r="B82" s="1">
        <v>4.0</v>
      </c>
      <c r="C82" s="1">
        <v>6.83</v>
      </c>
      <c r="D82" s="1" t="s">
        <v>96</v>
      </c>
      <c r="E82" s="1" t="s">
        <v>133</v>
      </c>
      <c r="J82" s="1" t="s">
        <v>39</v>
      </c>
      <c r="M82" s="38"/>
    </row>
    <row r="83">
      <c r="A83" s="1" t="s">
        <v>596</v>
      </c>
      <c r="B83" s="1">
        <v>4.0</v>
      </c>
      <c r="C83" s="1">
        <v>40.49</v>
      </c>
      <c r="D83" s="1" t="s">
        <v>96</v>
      </c>
      <c r="E83" s="1" t="s">
        <v>133</v>
      </c>
      <c r="J83" s="1" t="s">
        <v>25</v>
      </c>
      <c r="M83" s="38"/>
    </row>
    <row r="84">
      <c r="A84" s="1" t="s">
        <v>597</v>
      </c>
      <c r="B84" s="1">
        <v>4.0</v>
      </c>
      <c r="C84" s="1">
        <v>45.98</v>
      </c>
      <c r="D84" s="1" t="s">
        <v>96</v>
      </c>
      <c r="E84" s="1" t="s">
        <v>133</v>
      </c>
      <c r="J84" s="1" t="s">
        <v>25</v>
      </c>
      <c r="M84" s="38"/>
    </row>
    <row r="85">
      <c r="A85" s="1" t="s">
        <v>503</v>
      </c>
      <c r="B85" s="1">
        <v>4.0</v>
      </c>
      <c r="C85" s="1">
        <v>20.98</v>
      </c>
      <c r="D85" s="1" t="s">
        <v>96</v>
      </c>
      <c r="E85" s="1" t="s">
        <v>133</v>
      </c>
      <c r="J85" s="1" t="s">
        <v>34</v>
      </c>
      <c r="M85" s="38"/>
    </row>
    <row r="86">
      <c r="A86" s="1" t="s">
        <v>574</v>
      </c>
      <c r="B86" s="1">
        <v>3.0</v>
      </c>
      <c r="C86" s="1">
        <v>37.0</v>
      </c>
      <c r="D86" s="1" t="s">
        <v>96</v>
      </c>
      <c r="E86" s="1" t="s">
        <v>133</v>
      </c>
      <c r="J86" s="1" t="s">
        <v>32</v>
      </c>
      <c r="M86" s="38"/>
    </row>
    <row r="87">
      <c r="A87" s="1" t="s">
        <v>598</v>
      </c>
      <c r="B87" s="1">
        <v>1.0</v>
      </c>
      <c r="C87" s="1">
        <v>50.0</v>
      </c>
      <c r="D87" s="1" t="s">
        <v>96</v>
      </c>
      <c r="E87" s="1" t="s">
        <v>133</v>
      </c>
      <c r="J87" s="1" t="s">
        <v>18</v>
      </c>
      <c r="M87" s="38"/>
    </row>
    <row r="88">
      <c r="A88" s="1" t="s">
        <v>575</v>
      </c>
      <c r="B88" s="1">
        <v>1.0</v>
      </c>
      <c r="C88" s="1">
        <v>57.42</v>
      </c>
      <c r="D88" s="1" t="s">
        <v>96</v>
      </c>
      <c r="E88" s="1" t="s">
        <v>133</v>
      </c>
      <c r="J88" s="1" t="s">
        <v>18</v>
      </c>
      <c r="M88" s="38"/>
    </row>
    <row r="89">
      <c r="A89" s="1" t="s">
        <v>599</v>
      </c>
      <c r="B89" s="1">
        <v>1.0</v>
      </c>
      <c r="C89" s="1">
        <v>34.31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501</v>
      </c>
      <c r="B90" s="1">
        <v>0.0</v>
      </c>
      <c r="C90" s="1">
        <v>93.24</v>
      </c>
      <c r="D90" s="1" t="s">
        <v>96</v>
      </c>
      <c r="E90" s="1" t="s">
        <v>133</v>
      </c>
      <c r="J90" s="1" t="s">
        <v>29</v>
      </c>
      <c r="M90" s="38"/>
    </row>
    <row r="91">
      <c r="A91" s="1" t="s">
        <v>579</v>
      </c>
      <c r="B91" s="1">
        <v>0.0</v>
      </c>
      <c r="C91" s="1">
        <v>131.94</v>
      </c>
      <c r="D91" s="1" t="s">
        <v>96</v>
      </c>
      <c r="E91" s="1" t="s">
        <v>133</v>
      </c>
      <c r="J91" s="1" t="s">
        <v>29</v>
      </c>
      <c r="M91" s="38"/>
    </row>
    <row r="92">
      <c r="A92" s="1" t="s">
        <v>500</v>
      </c>
      <c r="B92" s="1">
        <v>0.0</v>
      </c>
      <c r="C92" s="1">
        <v>6.5</v>
      </c>
      <c r="D92" s="1" t="s">
        <v>96</v>
      </c>
      <c r="E92" s="1" t="s">
        <v>133</v>
      </c>
      <c r="J92" s="1" t="s">
        <v>39</v>
      </c>
      <c r="M92" s="38"/>
    </row>
    <row r="93">
      <c r="A93" s="1" t="s">
        <v>600</v>
      </c>
      <c r="B93" s="1">
        <v>28.0</v>
      </c>
      <c r="C93" s="1">
        <v>304.11</v>
      </c>
      <c r="D93" s="1" t="s">
        <v>96</v>
      </c>
      <c r="E93" s="1" t="s">
        <v>117</v>
      </c>
      <c r="J93" s="1" t="s">
        <v>28</v>
      </c>
      <c r="M93" s="38"/>
    </row>
    <row r="94">
      <c r="A94" s="1" t="s">
        <v>185</v>
      </c>
      <c r="B94" s="1">
        <v>19.0</v>
      </c>
      <c r="C94" s="1">
        <v>386.37</v>
      </c>
      <c r="D94" s="1" t="s">
        <v>96</v>
      </c>
      <c r="E94" s="1" t="s">
        <v>117</v>
      </c>
      <c r="J94" s="1" t="s">
        <v>28</v>
      </c>
      <c r="M94" s="38"/>
    </row>
    <row r="95">
      <c r="A95" s="1" t="s">
        <v>601</v>
      </c>
      <c r="B95" s="1">
        <v>17.0</v>
      </c>
      <c r="C95" s="1">
        <v>136.37</v>
      </c>
      <c r="D95" s="1" t="s">
        <v>96</v>
      </c>
      <c r="E95" s="1" t="s">
        <v>117</v>
      </c>
      <c r="J95" s="1" t="s">
        <v>32</v>
      </c>
      <c r="M95" s="38"/>
    </row>
    <row r="96">
      <c r="A96" s="1" t="s">
        <v>601</v>
      </c>
      <c r="B96" s="1">
        <v>17.0</v>
      </c>
      <c r="C96" s="1">
        <v>18.9</v>
      </c>
      <c r="D96" s="1" t="s">
        <v>96</v>
      </c>
      <c r="E96" s="1" t="s">
        <v>117</v>
      </c>
      <c r="J96" s="1" t="s">
        <v>32</v>
      </c>
      <c r="M96" s="38"/>
    </row>
    <row r="97">
      <c r="A97" s="1" t="s">
        <v>185</v>
      </c>
      <c r="B97" s="1">
        <v>6.0</v>
      </c>
      <c r="C97" s="1">
        <v>624.61</v>
      </c>
      <c r="D97" s="1" t="s">
        <v>96</v>
      </c>
      <c r="E97" s="1" t="s">
        <v>117</v>
      </c>
      <c r="J97" s="1" t="s">
        <v>28</v>
      </c>
      <c r="M97" s="38"/>
    </row>
    <row r="98">
      <c r="A98" s="1" t="s">
        <v>602</v>
      </c>
      <c r="B98" s="1">
        <v>12.0</v>
      </c>
      <c r="C98" s="1">
        <v>65.0</v>
      </c>
      <c r="D98" s="1" t="s">
        <v>96</v>
      </c>
      <c r="E98" s="1" t="s">
        <v>603</v>
      </c>
      <c r="J98" s="1" t="s">
        <v>34</v>
      </c>
      <c r="M98" s="38"/>
    </row>
    <row r="99">
      <c r="A99" s="1" t="s">
        <v>554</v>
      </c>
      <c r="B99" s="1">
        <v>8.0</v>
      </c>
      <c r="C99" s="1">
        <v>500.0</v>
      </c>
      <c r="D99" s="1" t="s">
        <v>96</v>
      </c>
      <c r="E99" s="1" t="s">
        <v>604</v>
      </c>
      <c r="J99" s="1" t="s">
        <v>23</v>
      </c>
      <c r="M99" s="38"/>
    </row>
    <row r="100">
      <c r="A100" s="1" t="s">
        <v>554</v>
      </c>
      <c r="B100" s="1">
        <v>14.0</v>
      </c>
      <c r="C100" s="1">
        <v>100.0</v>
      </c>
      <c r="D100" s="1" t="s">
        <v>96</v>
      </c>
      <c r="E100" s="1" t="s">
        <v>604</v>
      </c>
      <c r="J100" s="1" t="s">
        <v>45</v>
      </c>
      <c r="M100" s="38"/>
    </row>
    <row r="101">
      <c r="A101" s="1" t="s">
        <v>554</v>
      </c>
      <c r="B101" s="1">
        <v>14.0</v>
      </c>
      <c r="C101" s="1">
        <v>50.0</v>
      </c>
      <c r="D101" s="1" t="s">
        <v>96</v>
      </c>
      <c r="E101" s="1" t="s">
        <v>604</v>
      </c>
      <c r="J101" s="1" t="s">
        <v>45</v>
      </c>
      <c r="M101" s="38"/>
    </row>
    <row r="102">
      <c r="A102" s="1" t="s">
        <v>605</v>
      </c>
      <c r="B102" s="1">
        <v>17.0</v>
      </c>
      <c r="C102" s="1">
        <v>30.0</v>
      </c>
      <c r="D102" s="1" t="s">
        <v>96</v>
      </c>
      <c r="E102" s="1" t="s">
        <v>604</v>
      </c>
      <c r="J102" s="1" t="s">
        <v>32</v>
      </c>
      <c r="M102" s="38"/>
    </row>
    <row r="103">
      <c r="A103" s="1" t="s">
        <v>554</v>
      </c>
      <c r="B103" s="1">
        <v>28.0</v>
      </c>
      <c r="C103" s="1">
        <v>300.0</v>
      </c>
      <c r="D103" s="1" t="s">
        <v>96</v>
      </c>
      <c r="E103" s="1" t="s">
        <v>604</v>
      </c>
      <c r="J103" s="1" t="s">
        <v>45</v>
      </c>
      <c r="M103" s="38"/>
    </row>
    <row r="104">
      <c r="A104" s="1" t="s">
        <v>606</v>
      </c>
      <c r="B104" s="1">
        <v>28.0</v>
      </c>
      <c r="C104" s="1">
        <v>5669.2</v>
      </c>
      <c r="D104" s="1" t="s">
        <v>96</v>
      </c>
      <c r="E104" s="1" t="s">
        <v>604</v>
      </c>
      <c r="J104" s="1" t="s">
        <v>46</v>
      </c>
      <c r="M104" s="38"/>
    </row>
    <row r="105">
      <c r="A105" s="1"/>
      <c r="J105" s="14"/>
      <c r="M105" s="38"/>
    </row>
    <row r="106">
      <c r="A106" s="1" t="s">
        <v>236</v>
      </c>
      <c r="C106" s="1">
        <f>9167.28*0.3-(633.9)</f>
        <v>2116.284</v>
      </c>
      <c r="M106" s="38"/>
    </row>
    <row r="107">
      <c r="A107" s="1" t="s">
        <v>50</v>
      </c>
      <c r="C107" s="8">
        <f>SUM(C2:C100)</f>
        <v>10512.24</v>
      </c>
      <c r="D107" s="8">
        <f>(9167.28)-C107-C106</f>
        <v>-3461.244</v>
      </c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6" t="s">
        <v>240</v>
      </c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B159" s="8">
        <f>9167.28-B155</f>
        <v>7972.4</v>
      </c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</sheetData>
  <autoFilter ref="$A$1:$BV$18">
    <filterColumn colId="9">
      <filters>
        <filter val="seguro"/>
        <filter val="cursos"/>
        <filter val="streaming"/>
        <filter val="escola/faculdade"/>
        <filter val="academia"/>
        <filter val="Internet movel"/>
        <filter val="manutenção domiciliar"/>
        <filter val="dentista"/>
        <filter val="Internet"/>
        <filter val="Energia"/>
        <filter val="contabilidade"/>
      </filters>
    </filterColumn>
    <sortState ref="A1:BV18">
      <sortCondition ref="J1:J18"/>
    </sortState>
  </autoFilter>
  <conditionalFormatting sqref="B159">
    <cfRule type="cellIs" dxfId="1" priority="1" operator="greaterThanOrEqual">
      <formula>0</formula>
    </cfRule>
  </conditionalFormatting>
  <conditionalFormatting sqref="B159">
    <cfRule type="cellIs" dxfId="2" priority="2" operator="lessThan">
      <formula>0</formula>
    </cfRule>
  </conditionalFormatting>
  <dataValidations>
    <dataValidation type="list" allowBlank="1" showErrorMessage="1" sqref="J2:J105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veicular,ferias,projetos,dentista,reforma casa,painel solar,pix aline"</formula1>
    </dataValidation>
  </dataValidation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895.0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834.94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608</v>
      </c>
      <c r="B4" s="1">
        <v>5.0</v>
      </c>
      <c r="C4" s="39">
        <v>140.0</v>
      </c>
      <c r="D4" s="1"/>
      <c r="E4" s="1" t="s">
        <v>132</v>
      </c>
      <c r="F4" s="1" t="s">
        <v>97</v>
      </c>
      <c r="G4" s="1"/>
      <c r="H4" s="1"/>
      <c r="I4" s="1"/>
      <c r="J4" s="1" t="s">
        <v>25</v>
      </c>
      <c r="L4" s="1" t="s">
        <v>101</v>
      </c>
      <c r="M4" s="38"/>
    </row>
    <row r="5">
      <c r="A5" s="1" t="s">
        <v>609</v>
      </c>
      <c r="B5" s="1">
        <v>26.0</v>
      </c>
      <c r="C5" s="37">
        <v>0.0</v>
      </c>
      <c r="D5" s="1" t="s">
        <v>96</v>
      </c>
      <c r="E5" s="1" t="s">
        <v>49</v>
      </c>
      <c r="F5" s="1" t="s">
        <v>115</v>
      </c>
      <c r="G5" s="1" t="s">
        <v>108</v>
      </c>
      <c r="H5" s="1" t="s">
        <v>99</v>
      </c>
      <c r="I5" s="1" t="s">
        <v>100</v>
      </c>
      <c r="J5" s="1" t="s">
        <v>14</v>
      </c>
      <c r="L5" s="1" t="s">
        <v>101</v>
      </c>
      <c r="M5" s="38"/>
    </row>
    <row r="6">
      <c r="A6" s="2" t="s">
        <v>106</v>
      </c>
      <c r="B6" s="2">
        <v>14.0</v>
      </c>
      <c r="C6" s="40">
        <v>600.0</v>
      </c>
      <c r="D6" s="2" t="s">
        <v>96</v>
      </c>
      <c r="E6" s="2" t="s">
        <v>49</v>
      </c>
      <c r="F6" s="2" t="s">
        <v>107</v>
      </c>
      <c r="G6" s="2" t="s">
        <v>108</v>
      </c>
      <c r="H6" s="2" t="s">
        <v>109</v>
      </c>
      <c r="I6" s="2" t="s">
        <v>100</v>
      </c>
      <c r="J6" s="2" t="s">
        <v>27</v>
      </c>
      <c r="K6" s="21"/>
      <c r="L6" s="2" t="s">
        <v>110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</row>
    <row r="7">
      <c r="A7" s="1" t="s">
        <v>111</v>
      </c>
      <c r="B7" s="1">
        <v>11.0</v>
      </c>
      <c r="C7" s="37">
        <v>129.0</v>
      </c>
      <c r="D7" s="1" t="s">
        <v>96</v>
      </c>
      <c r="E7" s="1" t="s">
        <v>49</v>
      </c>
      <c r="F7" s="1" t="s">
        <v>107</v>
      </c>
      <c r="G7" s="1" t="s">
        <v>98</v>
      </c>
      <c r="H7" s="1" t="s">
        <v>109</v>
      </c>
      <c r="I7" s="1" t="s">
        <v>100</v>
      </c>
      <c r="J7" s="1" t="s">
        <v>22</v>
      </c>
      <c r="L7" s="1" t="s">
        <v>101</v>
      </c>
      <c r="M7" s="38"/>
    </row>
    <row r="8">
      <c r="A8" s="1" t="s">
        <v>610</v>
      </c>
      <c r="B8" s="1">
        <v>20.0</v>
      </c>
      <c r="C8" s="37">
        <v>88.0</v>
      </c>
      <c r="D8" s="1" t="s">
        <v>96</v>
      </c>
      <c r="E8" s="1" t="s">
        <v>114</v>
      </c>
      <c r="F8" s="1" t="s">
        <v>115</v>
      </c>
      <c r="G8" s="1" t="s">
        <v>98</v>
      </c>
      <c r="H8" s="1" t="s">
        <v>109</v>
      </c>
      <c r="I8" s="1" t="s">
        <v>100</v>
      </c>
      <c r="J8" s="1" t="s">
        <v>21</v>
      </c>
      <c r="L8" s="1" t="s">
        <v>101</v>
      </c>
      <c r="M8" s="38"/>
    </row>
    <row r="9">
      <c r="A9" s="1" t="s">
        <v>116</v>
      </c>
      <c r="B9" s="1">
        <v>30.0</v>
      </c>
      <c r="C9" s="37">
        <v>19.95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119</v>
      </c>
      <c r="B10" s="1">
        <v>16.0</v>
      </c>
      <c r="C10" s="37">
        <v>0.0</v>
      </c>
      <c r="D10" s="1" t="s">
        <v>120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121</v>
      </c>
      <c r="B11" s="1">
        <v>29.0</v>
      </c>
      <c r="C11" s="37">
        <v>0.0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122</v>
      </c>
      <c r="B12" s="1">
        <v>2.0</v>
      </c>
      <c r="C12" s="37">
        <v>27.99</v>
      </c>
      <c r="D12" s="1" t="s">
        <v>112</v>
      </c>
      <c r="E12" s="1" t="s">
        <v>117</v>
      </c>
      <c r="F12" s="1" t="s">
        <v>107</v>
      </c>
      <c r="G12" s="1" t="s">
        <v>118</v>
      </c>
      <c r="H12" s="1" t="s">
        <v>109</v>
      </c>
      <c r="J12" s="1" t="s">
        <v>17</v>
      </c>
      <c r="L12" s="1" t="s">
        <v>101</v>
      </c>
      <c r="M12" s="38"/>
    </row>
    <row r="13">
      <c r="A13" s="1" t="s">
        <v>123</v>
      </c>
      <c r="B13" s="1">
        <v>15.0</v>
      </c>
      <c r="C13" s="41">
        <v>0.0</v>
      </c>
      <c r="D13" s="1" t="s">
        <v>112</v>
      </c>
      <c r="E13" s="1" t="s">
        <v>117</v>
      </c>
      <c r="F13" s="1" t="s">
        <v>115</v>
      </c>
      <c r="G13" s="1" t="s">
        <v>118</v>
      </c>
      <c r="H13" s="1" t="s">
        <v>99</v>
      </c>
      <c r="J13" s="1" t="s">
        <v>19</v>
      </c>
      <c r="L13" s="1" t="s">
        <v>101</v>
      </c>
      <c r="M13" s="38"/>
    </row>
    <row r="14">
      <c r="A14" s="1" t="s">
        <v>124</v>
      </c>
      <c r="B14" s="1">
        <v>8.0</v>
      </c>
      <c r="C14" s="37">
        <v>44.9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125</v>
      </c>
      <c r="B15" s="1">
        <v>15.0</v>
      </c>
      <c r="C15" s="37">
        <v>0.0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109</v>
      </c>
      <c r="J15" s="1" t="s">
        <v>17</v>
      </c>
      <c r="L15" s="1" t="s">
        <v>101</v>
      </c>
      <c r="M15" s="38"/>
    </row>
    <row r="16">
      <c r="A16" s="1" t="s">
        <v>126</v>
      </c>
      <c r="B16" s="1">
        <v>27.0</v>
      </c>
      <c r="C16" s="37">
        <v>244.12</v>
      </c>
      <c r="D16" s="1" t="s">
        <v>112</v>
      </c>
      <c r="E16" s="1" t="s">
        <v>117</v>
      </c>
      <c r="F16" s="1" t="s">
        <v>107</v>
      </c>
      <c r="G16" s="1" t="s">
        <v>118</v>
      </c>
      <c r="H16" s="1" t="s">
        <v>127</v>
      </c>
      <c r="I16" s="1" t="s">
        <v>100</v>
      </c>
      <c r="J16" s="1" t="s">
        <v>26</v>
      </c>
      <c r="L16" s="1" t="s">
        <v>101</v>
      </c>
      <c r="M16" s="38"/>
    </row>
    <row r="17">
      <c r="A17" s="1" t="s">
        <v>128</v>
      </c>
      <c r="B17" s="1">
        <v>2.0</v>
      </c>
      <c r="C17" s="37">
        <v>0.0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129</v>
      </c>
      <c r="I17" s="1" t="s">
        <v>129</v>
      </c>
      <c r="J17" s="1" t="s">
        <v>16</v>
      </c>
      <c r="K17" s="42"/>
      <c r="L17" s="1" t="s">
        <v>101</v>
      </c>
      <c r="M17" s="38"/>
    </row>
    <row r="18">
      <c r="A18" s="1" t="s">
        <v>130</v>
      </c>
      <c r="B18" s="1">
        <v>27.0</v>
      </c>
      <c r="C18" s="37">
        <f>85.9+129.9</f>
        <v>215.8</v>
      </c>
      <c r="D18" s="1" t="s">
        <v>112</v>
      </c>
      <c r="E18" s="1" t="s">
        <v>117</v>
      </c>
      <c r="F18" s="1" t="s">
        <v>115</v>
      </c>
      <c r="G18" s="1" t="s">
        <v>118</v>
      </c>
      <c r="H18" s="1" t="s">
        <v>99</v>
      </c>
      <c r="I18" s="1" t="s">
        <v>100</v>
      </c>
      <c r="J18" s="1" t="s">
        <v>23</v>
      </c>
      <c r="L18" s="1" t="s">
        <v>101</v>
      </c>
      <c r="M18" s="38"/>
    </row>
    <row r="19">
      <c r="A19" s="1" t="s">
        <v>536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512</v>
      </c>
      <c r="B20" s="1">
        <v>0.0</v>
      </c>
      <c r="C20" s="1">
        <v>0.0</v>
      </c>
      <c r="D20" s="1" t="s">
        <v>112</v>
      </c>
      <c r="E20" s="1" t="s">
        <v>132</v>
      </c>
      <c r="G20" s="1"/>
      <c r="J20" s="1" t="s">
        <v>21</v>
      </c>
      <c r="M20" s="38"/>
    </row>
    <row r="21">
      <c r="A21" s="1" t="s">
        <v>611</v>
      </c>
      <c r="B21" s="1">
        <v>0.0</v>
      </c>
      <c r="C21" s="1">
        <v>60.0</v>
      </c>
      <c r="D21" s="1" t="s">
        <v>112</v>
      </c>
      <c r="E21" s="1" t="s">
        <v>132</v>
      </c>
      <c r="G21" s="1"/>
      <c r="J21" s="1" t="s">
        <v>34</v>
      </c>
      <c r="M21" s="38"/>
    </row>
    <row r="22">
      <c r="A22" s="1" t="s">
        <v>612</v>
      </c>
      <c r="B22" s="1">
        <v>0.0</v>
      </c>
      <c r="C22" s="1">
        <v>0.0</v>
      </c>
      <c r="D22" s="1" t="s">
        <v>112</v>
      </c>
      <c r="E22" s="1" t="s">
        <v>105</v>
      </c>
      <c r="G22" s="1"/>
      <c r="J22" s="1" t="s">
        <v>18</v>
      </c>
      <c r="M22" s="38"/>
    </row>
    <row r="23">
      <c r="A23" s="1" t="s">
        <v>613</v>
      </c>
      <c r="B23" s="1">
        <v>8.0</v>
      </c>
      <c r="C23" s="1">
        <v>500.0</v>
      </c>
      <c r="D23" s="1" t="s">
        <v>96</v>
      </c>
      <c r="E23" s="1" t="s">
        <v>132</v>
      </c>
      <c r="G23" s="1"/>
      <c r="J23" s="1" t="s">
        <v>23</v>
      </c>
      <c r="K23" s="42"/>
      <c r="M23" s="38"/>
    </row>
    <row r="24">
      <c r="A24" s="1" t="s">
        <v>614</v>
      </c>
      <c r="B24" s="1">
        <v>5.0</v>
      </c>
      <c r="C24" s="1">
        <v>0.0</v>
      </c>
      <c r="D24" s="1" t="s">
        <v>96</v>
      </c>
      <c r="E24" s="1" t="s">
        <v>117</v>
      </c>
      <c r="J24" s="1" t="s">
        <v>15</v>
      </c>
      <c r="M24" s="38"/>
      <c r="N24" s="42">
        <v>45324.0</v>
      </c>
    </row>
    <row r="25">
      <c r="A25" s="1" t="s">
        <v>233</v>
      </c>
      <c r="B25" s="1">
        <v>8.0</v>
      </c>
      <c r="C25" s="1">
        <v>0.0</v>
      </c>
      <c r="D25" s="1" t="s">
        <v>96</v>
      </c>
      <c r="E25" s="1" t="s">
        <v>117</v>
      </c>
      <c r="G25" s="1"/>
      <c r="J25" s="1" t="s">
        <v>28</v>
      </c>
      <c r="M25" s="38"/>
    </row>
    <row r="26">
      <c r="A26" s="1" t="s">
        <v>615</v>
      </c>
      <c r="B26" s="1">
        <v>0.0</v>
      </c>
      <c r="C26" s="1">
        <v>0.0</v>
      </c>
      <c r="D26" s="1" t="s">
        <v>96</v>
      </c>
      <c r="E26" s="1" t="s">
        <v>105</v>
      </c>
      <c r="G26" s="1"/>
      <c r="J26" s="1" t="s">
        <v>15</v>
      </c>
      <c r="M26" s="38"/>
      <c r="N26" s="42">
        <v>45354.0</v>
      </c>
    </row>
    <row r="27">
      <c r="A27" s="1" t="s">
        <v>616</v>
      </c>
      <c r="B27" s="1">
        <v>0.0</v>
      </c>
      <c r="C27" s="1">
        <v>0.0</v>
      </c>
      <c r="D27" s="1" t="s">
        <v>96</v>
      </c>
      <c r="E27" s="1" t="s">
        <v>105</v>
      </c>
      <c r="G27" s="1"/>
      <c r="J27" s="1" t="s">
        <v>29</v>
      </c>
      <c r="M27" s="38"/>
    </row>
    <row r="28">
      <c r="A28" s="1" t="s">
        <v>617</v>
      </c>
      <c r="B28" s="1">
        <v>0.0</v>
      </c>
      <c r="C28" s="1">
        <v>0.0</v>
      </c>
      <c r="D28" s="1" t="s">
        <v>96</v>
      </c>
      <c r="E28" s="1" t="s">
        <v>105</v>
      </c>
      <c r="G28" s="1"/>
      <c r="J28" s="1" t="s">
        <v>29</v>
      </c>
      <c r="M28" s="38"/>
    </row>
    <row r="29">
      <c r="A29" s="1" t="s">
        <v>618</v>
      </c>
      <c r="B29" s="1">
        <v>0.0</v>
      </c>
      <c r="C29" s="1">
        <v>0.0</v>
      </c>
      <c r="D29" s="1" t="s">
        <v>96</v>
      </c>
      <c r="E29" s="1" t="s">
        <v>133</v>
      </c>
      <c r="G29" s="1"/>
      <c r="J29" s="1" t="s">
        <v>39</v>
      </c>
      <c r="M29" s="38"/>
    </row>
    <row r="30">
      <c r="A30" s="1" t="s">
        <v>619</v>
      </c>
      <c r="B30" s="1">
        <v>0.0</v>
      </c>
      <c r="C30" s="1">
        <v>0.0</v>
      </c>
      <c r="D30" s="1" t="s">
        <v>96</v>
      </c>
      <c r="E30" s="1" t="s">
        <v>133</v>
      </c>
      <c r="G30" s="1"/>
      <c r="J30" s="1" t="s">
        <v>32</v>
      </c>
      <c r="M30" s="38"/>
    </row>
    <row r="31">
      <c r="A31" s="1" t="s">
        <v>620</v>
      </c>
      <c r="B31" s="1">
        <v>0.0</v>
      </c>
      <c r="C31" s="1">
        <v>0.0</v>
      </c>
      <c r="D31" s="1" t="s">
        <v>96</v>
      </c>
      <c r="E31" s="1" t="s">
        <v>133</v>
      </c>
      <c r="G31" s="1"/>
      <c r="J31" s="1" t="s">
        <v>32</v>
      </c>
      <c r="M31" s="38"/>
    </row>
    <row r="32">
      <c r="A32" s="1" t="s">
        <v>621</v>
      </c>
      <c r="B32" s="1">
        <v>0.0</v>
      </c>
      <c r="C32" s="1">
        <v>0.0</v>
      </c>
      <c r="D32" s="1" t="s">
        <v>96</v>
      </c>
      <c r="E32" s="1" t="s">
        <v>133</v>
      </c>
      <c r="G32" s="1"/>
      <c r="J32" s="1" t="s">
        <v>34</v>
      </c>
      <c r="M32" s="38"/>
    </row>
    <row r="33">
      <c r="A33" s="1" t="s">
        <v>154</v>
      </c>
      <c r="B33" s="1">
        <v>2.0</v>
      </c>
      <c r="C33" s="1">
        <v>0.0</v>
      </c>
      <c r="D33" s="1" t="s">
        <v>96</v>
      </c>
      <c r="E33" s="1" t="s">
        <v>133</v>
      </c>
      <c r="G33" s="1"/>
      <c r="J33" s="1" t="s">
        <v>39</v>
      </c>
      <c r="M33" s="38"/>
    </row>
    <row r="34">
      <c r="A34" s="1" t="s">
        <v>622</v>
      </c>
      <c r="B34" s="1">
        <v>2.0</v>
      </c>
      <c r="C34" s="1">
        <v>0.0</v>
      </c>
      <c r="D34" s="1" t="s">
        <v>96</v>
      </c>
      <c r="E34" s="1" t="s">
        <v>133</v>
      </c>
      <c r="G34" s="1"/>
      <c r="J34" s="1" t="s">
        <v>18</v>
      </c>
      <c r="M34" s="38"/>
    </row>
    <row r="35">
      <c r="A35" s="1" t="s">
        <v>623</v>
      </c>
      <c r="B35" s="1">
        <v>2.0</v>
      </c>
      <c r="C35" s="1">
        <v>0.0</v>
      </c>
      <c r="D35" s="1" t="s">
        <v>96</v>
      </c>
      <c r="E35" s="1" t="s">
        <v>133</v>
      </c>
      <c r="G35" s="1"/>
      <c r="J35" s="1" t="s">
        <v>18</v>
      </c>
      <c r="M35" s="38"/>
    </row>
    <row r="36">
      <c r="A36" s="1" t="s">
        <v>624</v>
      </c>
      <c r="B36" s="1">
        <v>3.0</v>
      </c>
      <c r="C36" s="1">
        <v>0.0</v>
      </c>
      <c r="D36" s="1" t="s">
        <v>96</v>
      </c>
      <c r="E36" s="1" t="s">
        <v>133</v>
      </c>
      <c r="G36" s="1"/>
      <c r="J36" s="1" t="s">
        <v>42</v>
      </c>
      <c r="M36" s="38"/>
    </row>
    <row r="37">
      <c r="A37" s="1" t="s">
        <v>422</v>
      </c>
      <c r="B37" s="1">
        <v>3.0</v>
      </c>
      <c r="C37" s="1">
        <v>0.0</v>
      </c>
      <c r="D37" s="1" t="s">
        <v>96</v>
      </c>
      <c r="E37" s="1" t="s">
        <v>133</v>
      </c>
      <c r="G37" s="1"/>
      <c r="J37" s="1" t="s">
        <v>42</v>
      </c>
      <c r="M37" s="38"/>
    </row>
    <row r="38">
      <c r="A38" s="1" t="s">
        <v>39</v>
      </c>
      <c r="B38" s="1">
        <v>4.0</v>
      </c>
      <c r="C38" s="1">
        <v>0.0</v>
      </c>
      <c r="D38" s="1" t="s">
        <v>96</v>
      </c>
      <c r="E38" s="1" t="s">
        <v>133</v>
      </c>
      <c r="G38" s="1"/>
      <c r="J38" s="1" t="s">
        <v>39</v>
      </c>
      <c r="M38" s="36" t="s">
        <v>43</v>
      </c>
    </row>
    <row r="39">
      <c r="A39" s="1" t="s">
        <v>251</v>
      </c>
      <c r="B39" s="1">
        <v>4.0</v>
      </c>
      <c r="C39" s="1">
        <v>0.0</v>
      </c>
      <c r="D39" s="1" t="s">
        <v>96</v>
      </c>
      <c r="E39" s="1" t="s">
        <v>133</v>
      </c>
      <c r="G39" s="1"/>
      <c r="J39" s="1" t="s">
        <v>24</v>
      </c>
      <c r="M39" s="38"/>
    </row>
    <row r="40">
      <c r="A40" s="1" t="s">
        <v>625</v>
      </c>
      <c r="B40" s="1">
        <v>4.0</v>
      </c>
      <c r="C40" s="1">
        <v>0.0</v>
      </c>
      <c r="D40" s="1" t="s">
        <v>96</v>
      </c>
      <c r="E40" s="1" t="s">
        <v>133</v>
      </c>
      <c r="G40" s="1"/>
      <c r="J40" s="1" t="s">
        <v>22</v>
      </c>
      <c r="M40" s="38"/>
    </row>
    <row r="41">
      <c r="A41" s="1" t="s">
        <v>626</v>
      </c>
      <c r="B41" s="1">
        <v>4.0</v>
      </c>
      <c r="C41" s="1">
        <v>0.0</v>
      </c>
      <c r="D41" s="1" t="s">
        <v>96</v>
      </c>
      <c r="E41" s="1" t="s">
        <v>133</v>
      </c>
      <c r="G41" s="1"/>
      <c r="J41" s="1" t="s">
        <v>21</v>
      </c>
      <c r="M41" s="38"/>
    </row>
    <row r="42">
      <c r="A42" s="1" t="s">
        <v>627</v>
      </c>
      <c r="B42" s="1">
        <v>5.0</v>
      </c>
      <c r="C42" s="1">
        <v>0.0</v>
      </c>
      <c r="D42" s="1" t="s">
        <v>96</v>
      </c>
      <c r="E42" s="1" t="s">
        <v>133</v>
      </c>
      <c r="G42" s="1"/>
      <c r="J42" s="1" t="s">
        <v>28</v>
      </c>
      <c r="L42" s="42"/>
      <c r="M42" s="38"/>
    </row>
    <row r="43">
      <c r="A43" s="1" t="s">
        <v>616</v>
      </c>
      <c r="B43" s="1">
        <v>5.0</v>
      </c>
      <c r="C43" s="1">
        <v>0.0</v>
      </c>
      <c r="D43" s="1" t="s">
        <v>96</v>
      </c>
      <c r="E43" s="1" t="s">
        <v>133</v>
      </c>
      <c r="G43" s="1"/>
      <c r="J43" s="1" t="s">
        <v>29</v>
      </c>
      <c r="M43" s="38"/>
    </row>
    <row r="44">
      <c r="A44" s="1" t="s">
        <v>621</v>
      </c>
      <c r="B44" s="1">
        <v>5.0</v>
      </c>
      <c r="C44" s="1">
        <v>0.0</v>
      </c>
      <c r="D44" s="1" t="s">
        <v>96</v>
      </c>
      <c r="E44" s="1" t="s">
        <v>133</v>
      </c>
      <c r="G44" s="1"/>
      <c r="J44" s="1" t="s">
        <v>34</v>
      </c>
      <c r="M44" s="38"/>
    </row>
    <row r="45">
      <c r="A45" s="1" t="s">
        <v>300</v>
      </c>
      <c r="B45" s="1">
        <v>5.0</v>
      </c>
      <c r="C45" s="1">
        <v>0.0</v>
      </c>
      <c r="D45" s="1" t="s">
        <v>96</v>
      </c>
      <c r="E45" s="1" t="s">
        <v>133</v>
      </c>
      <c r="G45" s="1"/>
      <c r="J45" s="1" t="s">
        <v>29</v>
      </c>
      <c r="M45" s="38"/>
    </row>
    <row r="46">
      <c r="A46" s="1" t="s">
        <v>516</v>
      </c>
      <c r="B46" s="1">
        <v>5.0</v>
      </c>
      <c r="C46" s="1">
        <v>0.0</v>
      </c>
      <c r="D46" s="1" t="s">
        <v>96</v>
      </c>
      <c r="E46" s="1" t="s">
        <v>133</v>
      </c>
      <c r="G46" s="1"/>
      <c r="J46" s="1" t="s">
        <v>25</v>
      </c>
      <c r="M46" s="38"/>
    </row>
    <row r="47">
      <c r="A47" s="1" t="s">
        <v>628</v>
      </c>
      <c r="B47" s="1">
        <v>5.0</v>
      </c>
      <c r="C47" s="1">
        <v>0.0</v>
      </c>
      <c r="D47" s="1" t="s">
        <v>96</v>
      </c>
      <c r="E47" s="1" t="s">
        <v>133</v>
      </c>
      <c r="G47" s="1"/>
      <c r="J47" s="1" t="s">
        <v>25</v>
      </c>
      <c r="M47" s="38"/>
    </row>
    <row r="48">
      <c r="A48" s="1" t="s">
        <v>629</v>
      </c>
      <c r="B48" s="1">
        <v>5.0</v>
      </c>
      <c r="C48" s="1">
        <v>0.0</v>
      </c>
      <c r="D48" s="1" t="s">
        <v>96</v>
      </c>
      <c r="E48" s="1" t="s">
        <v>133</v>
      </c>
      <c r="G48" s="1"/>
      <c r="J48" s="1" t="s">
        <v>20</v>
      </c>
      <c r="M48" s="38"/>
    </row>
    <row r="49">
      <c r="A49" s="1" t="s">
        <v>467</v>
      </c>
      <c r="B49" s="1">
        <v>5.0</v>
      </c>
      <c r="C49" s="1">
        <v>0.0</v>
      </c>
      <c r="D49" s="1" t="s">
        <v>96</v>
      </c>
      <c r="E49" s="1" t="s">
        <v>133</v>
      </c>
      <c r="G49" s="1"/>
      <c r="J49" s="1" t="s">
        <v>18</v>
      </c>
      <c r="M49" s="38"/>
    </row>
    <row r="50">
      <c r="A50" s="1" t="s">
        <v>630</v>
      </c>
      <c r="B50" s="1">
        <v>5.0</v>
      </c>
      <c r="C50" s="1">
        <v>0.0</v>
      </c>
      <c r="D50" s="1" t="s">
        <v>96</v>
      </c>
      <c r="E50" s="1" t="s">
        <v>133</v>
      </c>
      <c r="G50" s="1"/>
      <c r="J50" s="1" t="s">
        <v>28</v>
      </c>
      <c r="M50" s="38"/>
    </row>
    <row r="51">
      <c r="A51" s="1" t="s">
        <v>622</v>
      </c>
      <c r="B51" s="1">
        <v>5.0</v>
      </c>
      <c r="C51" s="1">
        <v>0.0</v>
      </c>
      <c r="D51" s="1" t="s">
        <v>96</v>
      </c>
      <c r="E51" s="1" t="s">
        <v>133</v>
      </c>
      <c r="G51" s="1"/>
      <c r="J51" s="1" t="s">
        <v>18</v>
      </c>
      <c r="M51" s="38"/>
    </row>
    <row r="52">
      <c r="A52" s="1" t="s">
        <v>618</v>
      </c>
      <c r="B52" s="1">
        <v>6.0</v>
      </c>
      <c r="C52" s="1">
        <v>0.0</v>
      </c>
      <c r="D52" s="1" t="s">
        <v>96</v>
      </c>
      <c r="E52" s="1" t="s">
        <v>133</v>
      </c>
      <c r="G52" s="1"/>
      <c r="J52" s="1" t="s">
        <v>39</v>
      </c>
      <c r="M52" s="38"/>
    </row>
    <row r="53">
      <c r="A53" s="1" t="s">
        <v>631</v>
      </c>
      <c r="B53" s="1">
        <v>7.0</v>
      </c>
      <c r="C53" s="1">
        <v>0.0</v>
      </c>
      <c r="D53" s="1" t="s">
        <v>96</v>
      </c>
      <c r="E53" s="1" t="s">
        <v>133</v>
      </c>
      <c r="G53" s="1"/>
      <c r="J53" s="1" t="s">
        <v>29</v>
      </c>
      <c r="M53" s="38"/>
    </row>
    <row r="54">
      <c r="A54" s="1" t="s">
        <v>632</v>
      </c>
      <c r="B54" s="1">
        <v>7.0</v>
      </c>
      <c r="C54" s="1">
        <v>0.0</v>
      </c>
      <c r="D54" s="1" t="s">
        <v>96</v>
      </c>
      <c r="E54" s="1" t="s">
        <v>133</v>
      </c>
      <c r="G54" s="1"/>
      <c r="J54" s="1" t="s">
        <v>18</v>
      </c>
      <c r="M54" s="38"/>
    </row>
    <row r="55">
      <c r="A55" s="1" t="s">
        <v>633</v>
      </c>
      <c r="B55" s="1">
        <v>7.0</v>
      </c>
      <c r="C55" s="1">
        <v>0.0</v>
      </c>
      <c r="D55" s="1" t="s">
        <v>96</v>
      </c>
      <c r="E55" s="1" t="s">
        <v>133</v>
      </c>
      <c r="G55" s="1"/>
      <c r="J55" s="1" t="s">
        <v>29</v>
      </c>
      <c r="M55" s="38"/>
    </row>
    <row r="56">
      <c r="A56" s="1" t="s">
        <v>630</v>
      </c>
      <c r="B56" s="1">
        <v>7.0</v>
      </c>
      <c r="C56" s="1">
        <v>0.0</v>
      </c>
      <c r="D56" s="1" t="s">
        <v>96</v>
      </c>
      <c r="E56" s="1" t="s">
        <v>133</v>
      </c>
      <c r="G56" s="1"/>
      <c r="J56" s="1" t="s">
        <v>28</v>
      </c>
      <c r="M56" s="38"/>
    </row>
    <row r="57">
      <c r="A57" s="1" t="s">
        <v>634</v>
      </c>
      <c r="B57" s="1">
        <v>8.0</v>
      </c>
      <c r="C57" s="1">
        <v>0.0</v>
      </c>
      <c r="D57" s="1" t="s">
        <v>96</v>
      </c>
      <c r="E57" s="1" t="s">
        <v>133</v>
      </c>
      <c r="G57" s="1"/>
      <c r="J57" s="1" t="s">
        <v>24</v>
      </c>
      <c r="M57" s="38"/>
    </row>
    <row r="58">
      <c r="A58" s="1" t="s">
        <v>635</v>
      </c>
      <c r="B58" s="1">
        <v>9.0</v>
      </c>
      <c r="C58" s="1">
        <v>0.0</v>
      </c>
      <c r="D58" s="1" t="s">
        <v>96</v>
      </c>
      <c r="E58" s="1" t="s">
        <v>133</v>
      </c>
      <c r="G58" s="1"/>
      <c r="J58" s="1" t="s">
        <v>29</v>
      </c>
      <c r="M58" s="38"/>
    </row>
    <row r="59">
      <c r="A59" s="1" t="s">
        <v>616</v>
      </c>
      <c r="B59" s="1">
        <v>10.0</v>
      </c>
      <c r="C59" s="1">
        <v>0.0</v>
      </c>
      <c r="D59" s="1" t="s">
        <v>96</v>
      </c>
      <c r="E59" s="1" t="s">
        <v>133</v>
      </c>
      <c r="G59" s="1"/>
      <c r="J59" s="1" t="s">
        <v>29</v>
      </c>
      <c r="M59" s="38"/>
    </row>
    <row r="60">
      <c r="A60" s="1" t="s">
        <v>516</v>
      </c>
      <c r="B60" s="1">
        <v>14.0</v>
      </c>
      <c r="C60" s="1">
        <v>0.0</v>
      </c>
      <c r="D60" s="1" t="s">
        <v>96</v>
      </c>
      <c r="E60" s="1" t="s">
        <v>133</v>
      </c>
      <c r="G60" s="1"/>
      <c r="J60" s="1" t="s">
        <v>25</v>
      </c>
      <c r="M60" s="38"/>
    </row>
    <row r="61">
      <c r="A61" s="1" t="s">
        <v>263</v>
      </c>
      <c r="B61" s="1">
        <v>14.0</v>
      </c>
      <c r="C61" s="1">
        <v>0.0</v>
      </c>
      <c r="D61" s="1" t="s">
        <v>96</v>
      </c>
      <c r="E61" s="1" t="s">
        <v>133</v>
      </c>
      <c r="G61" s="1"/>
      <c r="J61" s="1" t="s">
        <v>28</v>
      </c>
      <c r="M61" s="38"/>
    </row>
    <row r="62">
      <c r="A62" s="1" t="s">
        <v>636</v>
      </c>
      <c r="B62" s="1">
        <v>15.0</v>
      </c>
      <c r="C62" s="1">
        <v>0.0</v>
      </c>
      <c r="D62" s="1" t="s">
        <v>96</v>
      </c>
      <c r="E62" s="1" t="s">
        <v>133</v>
      </c>
      <c r="G62" s="1"/>
      <c r="J62" s="1" t="s">
        <v>41</v>
      </c>
      <c r="M62" s="38"/>
    </row>
    <row r="63">
      <c r="A63" s="1" t="s">
        <v>636</v>
      </c>
      <c r="B63" s="1">
        <v>15.0</v>
      </c>
      <c r="C63" s="1">
        <v>0.0</v>
      </c>
      <c r="D63" s="1" t="s">
        <v>96</v>
      </c>
      <c r="E63" s="1" t="s">
        <v>133</v>
      </c>
      <c r="G63" s="1"/>
      <c r="J63" s="1" t="s">
        <v>41</v>
      </c>
      <c r="M63" s="38"/>
    </row>
    <row r="64">
      <c r="A64" s="1" t="s">
        <v>621</v>
      </c>
      <c r="B64" s="1">
        <v>15.0</v>
      </c>
      <c r="C64" s="1">
        <v>0.0</v>
      </c>
      <c r="D64" s="1" t="s">
        <v>96</v>
      </c>
      <c r="E64" s="1" t="s">
        <v>133</v>
      </c>
      <c r="G64" s="1"/>
      <c r="J64" s="1" t="s">
        <v>34</v>
      </c>
      <c r="M64" s="36" t="s">
        <v>476</v>
      </c>
    </row>
    <row r="65">
      <c r="A65" s="1" t="s">
        <v>637</v>
      </c>
      <c r="B65" s="1">
        <v>15.0</v>
      </c>
      <c r="C65" s="1">
        <v>0.0</v>
      </c>
      <c r="D65" s="1" t="s">
        <v>96</v>
      </c>
      <c r="E65" s="1" t="s">
        <v>133</v>
      </c>
      <c r="G65" s="1"/>
      <c r="J65" s="1" t="s">
        <v>31</v>
      </c>
      <c r="L65" s="42">
        <v>45323.0</v>
      </c>
      <c r="M65" s="36" t="s">
        <v>476</v>
      </c>
    </row>
    <row r="66">
      <c r="A66" s="1" t="s">
        <v>560</v>
      </c>
      <c r="B66" s="1">
        <v>16.0</v>
      </c>
      <c r="C66" s="1">
        <v>0.0</v>
      </c>
      <c r="D66" s="1" t="s">
        <v>96</v>
      </c>
      <c r="E66" s="1" t="s">
        <v>133</v>
      </c>
      <c r="G66" s="1"/>
      <c r="J66" s="1" t="s">
        <v>34</v>
      </c>
      <c r="M66" s="36" t="s">
        <v>476</v>
      </c>
    </row>
    <row r="67">
      <c r="A67" s="1" t="s">
        <v>154</v>
      </c>
      <c r="B67" s="1">
        <v>16.0</v>
      </c>
      <c r="C67" s="1">
        <v>0.0</v>
      </c>
      <c r="D67" s="1" t="s">
        <v>96</v>
      </c>
      <c r="E67" s="1" t="s">
        <v>133</v>
      </c>
      <c r="J67" s="1" t="s">
        <v>39</v>
      </c>
      <c r="M67" s="36" t="s">
        <v>476</v>
      </c>
    </row>
    <row r="68">
      <c r="A68" s="1" t="s">
        <v>392</v>
      </c>
      <c r="B68" s="1">
        <v>16.0</v>
      </c>
      <c r="C68" s="1">
        <v>0.0</v>
      </c>
      <c r="D68" s="1" t="s">
        <v>96</v>
      </c>
      <c r="E68" s="1" t="s">
        <v>133</v>
      </c>
      <c r="J68" s="1" t="s">
        <v>24</v>
      </c>
      <c r="M68" s="36" t="s">
        <v>476</v>
      </c>
    </row>
    <row r="69">
      <c r="A69" s="1" t="s">
        <v>638</v>
      </c>
      <c r="B69" s="1">
        <v>17.0</v>
      </c>
      <c r="C69" s="1">
        <v>0.0</v>
      </c>
      <c r="D69" s="1" t="s">
        <v>96</v>
      </c>
      <c r="E69" s="1" t="s">
        <v>117</v>
      </c>
      <c r="J69" s="1" t="s">
        <v>34</v>
      </c>
      <c r="M69" s="36" t="s">
        <v>476</v>
      </c>
    </row>
    <row r="70">
      <c r="A70" s="1" t="s">
        <v>639</v>
      </c>
      <c r="B70" s="1">
        <v>17.0</v>
      </c>
      <c r="C70" s="1">
        <v>0.0</v>
      </c>
      <c r="D70" s="1" t="s">
        <v>96</v>
      </c>
      <c r="E70" s="1" t="s">
        <v>133</v>
      </c>
      <c r="J70" s="1" t="s">
        <v>29</v>
      </c>
      <c r="M70" s="36" t="s">
        <v>476</v>
      </c>
    </row>
    <row r="71">
      <c r="A71" s="1" t="s">
        <v>640</v>
      </c>
      <c r="B71" s="1">
        <v>17.0</v>
      </c>
      <c r="C71" s="1">
        <v>0.0</v>
      </c>
      <c r="D71" s="1" t="s">
        <v>96</v>
      </c>
      <c r="E71" s="1" t="s">
        <v>133</v>
      </c>
      <c r="J71" s="1" t="s">
        <v>29</v>
      </c>
      <c r="M71" s="36" t="s">
        <v>476</v>
      </c>
    </row>
    <row r="72">
      <c r="A72" s="1" t="s">
        <v>641</v>
      </c>
      <c r="B72" s="1">
        <v>17.0</v>
      </c>
      <c r="C72" s="1">
        <v>0.0</v>
      </c>
      <c r="D72" s="1" t="s">
        <v>96</v>
      </c>
      <c r="E72" s="1" t="s">
        <v>133</v>
      </c>
      <c r="H72" s="1" t="s">
        <v>129</v>
      </c>
      <c r="I72" s="1" t="s">
        <v>129</v>
      </c>
      <c r="J72" s="1" t="s">
        <v>34</v>
      </c>
      <c r="K72" s="42">
        <v>44959.0</v>
      </c>
      <c r="M72" s="36" t="s">
        <v>476</v>
      </c>
    </row>
    <row r="73">
      <c r="A73" s="1" t="s">
        <v>642</v>
      </c>
      <c r="B73" s="1">
        <v>17.0</v>
      </c>
      <c r="C73" s="1">
        <v>0.0</v>
      </c>
      <c r="D73" s="1" t="s">
        <v>96</v>
      </c>
      <c r="E73" s="1" t="s">
        <v>133</v>
      </c>
      <c r="J73" s="1" t="s">
        <v>29</v>
      </c>
      <c r="M73" s="36" t="s">
        <v>476</v>
      </c>
    </row>
    <row r="74">
      <c r="A74" s="1" t="s">
        <v>643</v>
      </c>
      <c r="B74" s="1">
        <v>18.0</v>
      </c>
      <c r="C74" s="1">
        <v>0.0</v>
      </c>
      <c r="D74" s="1" t="s">
        <v>96</v>
      </c>
      <c r="E74" s="1" t="s">
        <v>133</v>
      </c>
      <c r="J74" s="1" t="s">
        <v>18</v>
      </c>
      <c r="M74" s="36" t="s">
        <v>476</v>
      </c>
    </row>
    <row r="75">
      <c r="A75" s="1" t="s">
        <v>392</v>
      </c>
      <c r="B75" s="1">
        <v>19.0</v>
      </c>
      <c r="C75" s="1">
        <v>0.0</v>
      </c>
      <c r="D75" s="1" t="s">
        <v>96</v>
      </c>
      <c r="E75" s="1" t="s">
        <v>133</v>
      </c>
      <c r="J75" s="1" t="s">
        <v>24</v>
      </c>
      <c r="M75" s="36" t="s">
        <v>476</v>
      </c>
    </row>
    <row r="76">
      <c r="A76" s="1" t="s">
        <v>519</v>
      </c>
      <c r="B76" s="1">
        <v>20.0</v>
      </c>
      <c r="C76" s="1">
        <v>0.0</v>
      </c>
      <c r="D76" s="1" t="s">
        <v>96</v>
      </c>
      <c r="E76" s="1" t="s">
        <v>133</v>
      </c>
      <c r="J76" s="1" t="s">
        <v>29</v>
      </c>
      <c r="M76" s="36" t="s">
        <v>476</v>
      </c>
    </row>
    <row r="77">
      <c r="A77" s="1" t="s">
        <v>644</v>
      </c>
      <c r="B77" s="1">
        <v>21.0</v>
      </c>
      <c r="C77" s="1">
        <v>0.0</v>
      </c>
      <c r="D77" s="1" t="s">
        <v>96</v>
      </c>
      <c r="E77" s="1" t="s">
        <v>133</v>
      </c>
      <c r="J77" s="1" t="s">
        <v>18</v>
      </c>
      <c r="M77" s="36" t="s">
        <v>476</v>
      </c>
    </row>
    <row r="78">
      <c r="A78" s="1" t="s">
        <v>516</v>
      </c>
      <c r="B78" s="1">
        <v>23.0</v>
      </c>
      <c r="C78" s="1">
        <v>0.0</v>
      </c>
      <c r="D78" s="1" t="s">
        <v>96</v>
      </c>
      <c r="E78" s="1" t="s">
        <v>133</v>
      </c>
      <c r="J78" s="1" t="s">
        <v>39</v>
      </c>
      <c r="M78" s="36" t="s">
        <v>476</v>
      </c>
    </row>
    <row r="79">
      <c r="A79" s="1" t="s">
        <v>645</v>
      </c>
      <c r="B79" s="1">
        <v>23.0</v>
      </c>
      <c r="C79" s="1">
        <v>0.0</v>
      </c>
      <c r="D79" s="1" t="s">
        <v>96</v>
      </c>
      <c r="E79" s="1" t="s">
        <v>133</v>
      </c>
      <c r="J79" s="1" t="s">
        <v>18</v>
      </c>
      <c r="M79" s="36" t="s">
        <v>476</v>
      </c>
    </row>
    <row r="80">
      <c r="A80" s="1" t="s">
        <v>646</v>
      </c>
      <c r="B80" s="1">
        <v>23.0</v>
      </c>
      <c r="C80" s="1">
        <v>0.0</v>
      </c>
      <c r="D80" s="1" t="s">
        <v>96</v>
      </c>
      <c r="E80" s="1" t="s">
        <v>133</v>
      </c>
      <c r="J80" s="1" t="s">
        <v>34</v>
      </c>
      <c r="M80" s="36" t="s">
        <v>476</v>
      </c>
    </row>
    <row r="81">
      <c r="A81" s="1" t="s">
        <v>647</v>
      </c>
      <c r="B81" s="1">
        <v>23.0</v>
      </c>
      <c r="C81" s="1">
        <v>0.0</v>
      </c>
      <c r="D81" s="1" t="s">
        <v>96</v>
      </c>
      <c r="E81" s="1" t="s">
        <v>133</v>
      </c>
      <c r="J81" s="1" t="s">
        <v>34</v>
      </c>
      <c r="M81" s="38"/>
    </row>
    <row r="82">
      <c r="A82" s="1" t="s">
        <v>648</v>
      </c>
      <c r="B82" s="1">
        <v>23.0</v>
      </c>
      <c r="C82" s="1">
        <v>0.0</v>
      </c>
      <c r="D82" s="1" t="s">
        <v>96</v>
      </c>
      <c r="E82" s="1" t="s">
        <v>133</v>
      </c>
      <c r="J82" s="1" t="s">
        <v>34</v>
      </c>
      <c r="M82" s="38"/>
    </row>
    <row r="83">
      <c r="A83" s="1" t="s">
        <v>648</v>
      </c>
      <c r="B83" s="1">
        <v>23.0</v>
      </c>
      <c r="C83" s="1">
        <v>0.0</v>
      </c>
      <c r="D83" s="1" t="s">
        <v>96</v>
      </c>
      <c r="E83" s="1" t="s">
        <v>133</v>
      </c>
      <c r="J83" s="1" t="s">
        <v>34</v>
      </c>
      <c r="M83" s="38"/>
    </row>
    <row r="84">
      <c r="A84" s="1" t="s">
        <v>647</v>
      </c>
      <c r="B84" s="1">
        <v>23.0</v>
      </c>
      <c r="C84" s="1">
        <v>0.0</v>
      </c>
      <c r="D84" s="1" t="s">
        <v>96</v>
      </c>
      <c r="E84" s="1" t="s">
        <v>133</v>
      </c>
      <c r="J84" s="1" t="s">
        <v>34</v>
      </c>
      <c r="M84" s="38"/>
    </row>
    <row r="85">
      <c r="A85" s="1" t="s">
        <v>519</v>
      </c>
      <c r="B85" s="1">
        <v>23.0</v>
      </c>
      <c r="C85" s="1">
        <v>0.0</v>
      </c>
      <c r="D85" s="1" t="s">
        <v>96</v>
      </c>
      <c r="E85" s="1" t="s">
        <v>133</v>
      </c>
      <c r="J85" s="1" t="s">
        <v>29</v>
      </c>
      <c r="M85" s="38"/>
    </row>
    <row r="86">
      <c r="A86" s="1" t="s">
        <v>154</v>
      </c>
      <c r="B86" s="1">
        <v>24.0</v>
      </c>
      <c r="C86" s="1">
        <v>0.0</v>
      </c>
      <c r="D86" s="1" t="s">
        <v>96</v>
      </c>
      <c r="E86" s="1" t="s">
        <v>133</v>
      </c>
      <c r="J86" s="1" t="s">
        <v>39</v>
      </c>
      <c r="M86" s="38"/>
    </row>
    <row r="87">
      <c r="A87" s="1" t="s">
        <v>467</v>
      </c>
      <c r="B87" s="1">
        <v>25.0</v>
      </c>
      <c r="C87" s="1">
        <v>0.0</v>
      </c>
      <c r="D87" s="1" t="s">
        <v>96</v>
      </c>
      <c r="E87" s="1" t="s">
        <v>133</v>
      </c>
      <c r="J87" s="1" t="s">
        <v>34</v>
      </c>
      <c r="M87" s="38"/>
    </row>
    <row r="88">
      <c r="A88" s="1" t="s">
        <v>649</v>
      </c>
      <c r="B88" s="1">
        <v>26.0</v>
      </c>
      <c r="C88" s="1">
        <v>0.0</v>
      </c>
      <c r="D88" s="1" t="s">
        <v>96</v>
      </c>
      <c r="E88" s="1" t="s">
        <v>133</v>
      </c>
      <c r="J88" s="1" t="s">
        <v>34</v>
      </c>
      <c r="M88" s="38"/>
    </row>
    <row r="89">
      <c r="A89" s="1" t="s">
        <v>372</v>
      </c>
      <c r="B89" s="1">
        <v>26.0</v>
      </c>
      <c r="C89" s="1">
        <v>0.0</v>
      </c>
      <c r="D89" s="1" t="s">
        <v>96</v>
      </c>
      <c r="E89" s="1" t="s">
        <v>133</v>
      </c>
      <c r="J89" s="1" t="s">
        <v>20</v>
      </c>
      <c r="M89" s="38"/>
    </row>
    <row r="90">
      <c r="A90" s="1" t="s">
        <v>392</v>
      </c>
      <c r="B90" s="1">
        <v>0.0</v>
      </c>
      <c r="C90" s="1">
        <v>0.0</v>
      </c>
      <c r="D90" s="1" t="s">
        <v>96</v>
      </c>
      <c r="E90" s="1" t="s">
        <v>133</v>
      </c>
      <c r="J90" s="1" t="s">
        <v>24</v>
      </c>
      <c r="M90" s="38"/>
    </row>
    <row r="91">
      <c r="A91" s="1" t="s">
        <v>650</v>
      </c>
      <c r="B91" s="1">
        <v>0.0</v>
      </c>
      <c r="C91" s="1">
        <v>0.0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651</v>
      </c>
      <c r="B92" s="1">
        <v>0.0</v>
      </c>
      <c r="C92" s="1">
        <v>0.0</v>
      </c>
      <c r="D92" s="1" t="s">
        <v>96</v>
      </c>
      <c r="E92" s="1" t="s">
        <v>156</v>
      </c>
      <c r="J92" s="1" t="s">
        <v>29</v>
      </c>
      <c r="M92" s="38"/>
    </row>
    <row r="93">
      <c r="A93" s="1" t="s">
        <v>652</v>
      </c>
      <c r="B93" s="1">
        <v>0.0</v>
      </c>
      <c r="C93" s="1">
        <v>0.0</v>
      </c>
      <c r="D93" s="1" t="s">
        <v>96</v>
      </c>
      <c r="E93" s="1" t="s">
        <v>156</v>
      </c>
      <c r="J93" s="1" t="s">
        <v>42</v>
      </c>
      <c r="M93" s="38"/>
    </row>
    <row r="94">
      <c r="A94" s="1" t="s">
        <v>653</v>
      </c>
      <c r="B94" s="1">
        <v>0.0</v>
      </c>
      <c r="C94" s="1">
        <v>0.0</v>
      </c>
      <c r="D94" s="1" t="s">
        <v>96</v>
      </c>
      <c r="E94" s="1" t="s">
        <v>156</v>
      </c>
      <c r="J94" s="1" t="s">
        <v>42</v>
      </c>
      <c r="M94" s="38"/>
    </row>
    <row r="95">
      <c r="A95" s="1" t="s">
        <v>654</v>
      </c>
      <c r="B95" s="1">
        <v>0.0</v>
      </c>
      <c r="C95" s="1">
        <v>0.0</v>
      </c>
      <c r="D95" s="1" t="s">
        <v>96</v>
      </c>
      <c r="E95" s="1" t="s">
        <v>156</v>
      </c>
      <c r="J95" s="1" t="s">
        <v>28</v>
      </c>
      <c r="M95" s="38"/>
    </row>
    <row r="96">
      <c r="A96" s="1" t="s">
        <v>655</v>
      </c>
      <c r="B96" s="1">
        <v>0.0</v>
      </c>
      <c r="C96" s="1">
        <v>0.0</v>
      </c>
      <c r="D96" s="1" t="s">
        <v>96</v>
      </c>
      <c r="E96" s="1" t="s">
        <v>156</v>
      </c>
      <c r="J96" s="1" t="s">
        <v>21</v>
      </c>
      <c r="M96" s="38"/>
    </row>
    <row r="97">
      <c r="A97" s="1" t="s">
        <v>656</v>
      </c>
      <c r="B97" s="1">
        <v>0.0</v>
      </c>
      <c r="C97" s="1">
        <v>0.0</v>
      </c>
      <c r="D97" s="1" t="s">
        <v>96</v>
      </c>
      <c r="E97" s="1" t="s">
        <v>156</v>
      </c>
      <c r="J97" s="1" t="s">
        <v>28</v>
      </c>
      <c r="M97" s="38"/>
    </row>
    <row r="98">
      <c r="A98" s="1" t="s">
        <v>300</v>
      </c>
      <c r="B98" s="1">
        <v>0.0</v>
      </c>
      <c r="C98" s="1">
        <v>0.0</v>
      </c>
      <c r="D98" s="1" t="s">
        <v>96</v>
      </c>
      <c r="E98" s="1" t="s">
        <v>133</v>
      </c>
      <c r="J98" s="1" t="s">
        <v>29</v>
      </c>
      <c r="M98" s="38"/>
    </row>
    <row r="99">
      <c r="A99" s="1" t="s">
        <v>254</v>
      </c>
      <c r="B99" s="1">
        <v>0.0</v>
      </c>
      <c r="C99" s="1">
        <v>0.0</v>
      </c>
      <c r="D99" s="1" t="s">
        <v>96</v>
      </c>
      <c r="E99" s="1" t="s">
        <v>133</v>
      </c>
      <c r="J99" s="1" t="s">
        <v>15</v>
      </c>
      <c r="M99" s="38"/>
    </row>
    <row r="100">
      <c r="A100" s="1" t="s">
        <v>657</v>
      </c>
      <c r="B100" s="1">
        <v>0.0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658</v>
      </c>
      <c r="B101" s="1">
        <v>0.0</v>
      </c>
      <c r="C101" s="1">
        <v>0.0</v>
      </c>
      <c r="D101" s="1" t="s">
        <v>96</v>
      </c>
      <c r="E101" s="1" t="s">
        <v>133</v>
      </c>
      <c r="J101" s="1" t="s">
        <v>31</v>
      </c>
      <c r="M101" s="38"/>
    </row>
    <row r="102">
      <c r="A102" s="1" t="s">
        <v>444</v>
      </c>
      <c r="B102" s="1">
        <v>0.0</v>
      </c>
      <c r="C102" s="1">
        <v>0.0</v>
      </c>
      <c r="D102" s="1" t="s">
        <v>96</v>
      </c>
      <c r="E102" s="1" t="s">
        <v>133</v>
      </c>
      <c r="J102" s="1" t="s">
        <v>31</v>
      </c>
      <c r="M102" s="38"/>
    </row>
    <row r="103">
      <c r="A103" s="1"/>
      <c r="J103" s="14"/>
      <c r="M103" s="38"/>
    </row>
    <row r="104">
      <c r="A104" s="1" t="s">
        <v>236</v>
      </c>
      <c r="C104" s="1">
        <f>9167.28*0.3-(633.9)-C40</f>
        <v>2116.284</v>
      </c>
      <c r="M104" s="38"/>
    </row>
    <row r="105">
      <c r="A105" s="1" t="s">
        <v>50</v>
      </c>
      <c r="C105" s="8">
        <f>SUM(C2:C102)</f>
        <v>3799.7</v>
      </c>
      <c r="D105" s="8">
        <f>(9167.28)-C105-C104</f>
        <v>3251.296</v>
      </c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6" t="s">
        <v>240</v>
      </c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B150" s="8"/>
      <c r="M150" s="38"/>
    </row>
    <row r="151">
      <c r="B151" s="8"/>
      <c r="M151" s="38"/>
    </row>
    <row r="152">
      <c r="M152" s="38"/>
    </row>
    <row r="153">
      <c r="M153" s="38"/>
    </row>
    <row r="154">
      <c r="B154" s="8">
        <f>9167.28-B150</f>
        <v>9167.28</v>
      </c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</sheetData>
  <autoFilter ref="$A$1:$BV$18">
    <filterColumn colId="9">
      <filters>
        <filter val="seguro"/>
        <filter val="cursos"/>
        <filter val="streaming"/>
        <filter val="escola/faculdade"/>
        <filter val="academia"/>
        <filter val="Internet movel"/>
        <filter val="farmacia"/>
        <filter val="Internet"/>
        <filter val="Energia"/>
        <filter val="contabilidade"/>
      </filters>
    </filterColumn>
    <sortState ref="A1:BV18">
      <sortCondition ref="J1:J18"/>
    </sortState>
  </autoFilter>
  <conditionalFormatting sqref="B154">
    <cfRule type="cellIs" dxfId="1" priority="1" operator="greaterThanOrEqual">
      <formula>0</formula>
    </cfRule>
  </conditionalFormatting>
  <conditionalFormatting sqref="B154">
    <cfRule type="cellIs" dxfId="2" priority="2" operator="lessThan">
      <formula>0</formula>
    </cfRule>
  </conditionalFormatting>
  <dataValidations>
    <dataValidation type="list" allowBlank="1" showErrorMessage="1" sqref="J2:J103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veicular,ferias,projetos"</formula1>
    </dataValidation>
  </dataValidation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556.63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104</v>
      </c>
      <c r="B4" s="1">
        <v>5.0</v>
      </c>
      <c r="C4" s="37">
        <v>140.0</v>
      </c>
      <c r="D4" s="1" t="s">
        <v>96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>
      <c r="A5" s="2" t="s">
        <v>106</v>
      </c>
      <c r="B5" s="2">
        <v>14.0</v>
      </c>
      <c r="C5" s="40">
        <v>626.13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132.72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113</v>
      </c>
      <c r="B7" s="1">
        <v>26.0</v>
      </c>
      <c r="C7" s="37">
        <v>101.1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0.0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27.99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0.0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244.12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85.9+129.9</f>
        <v>215.8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10.0</v>
      </c>
      <c r="C18" s="37">
        <v>20.0</v>
      </c>
      <c r="D18" s="1" t="s">
        <v>112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555</v>
      </c>
      <c r="B19" s="1">
        <v>3.0</v>
      </c>
      <c r="C19" s="1">
        <v>30.0</v>
      </c>
      <c r="D19" s="1" t="s">
        <v>96</v>
      </c>
      <c r="E19" s="1" t="s">
        <v>659</v>
      </c>
      <c r="G19" s="1"/>
      <c r="J19" s="1" t="s">
        <v>21</v>
      </c>
      <c r="M19" s="38"/>
    </row>
    <row r="20">
      <c r="A20" s="1" t="s">
        <v>660</v>
      </c>
      <c r="B20" s="1">
        <v>3.0</v>
      </c>
      <c r="C20" s="1">
        <v>50.0</v>
      </c>
      <c r="D20" s="1" t="s">
        <v>96</v>
      </c>
      <c r="E20" s="1" t="s">
        <v>659</v>
      </c>
      <c r="G20" s="1"/>
      <c r="J20" s="1" t="s">
        <v>21</v>
      </c>
      <c r="M20" s="38"/>
    </row>
    <row r="21">
      <c r="A21" s="1" t="s">
        <v>661</v>
      </c>
      <c r="B21" s="1">
        <v>3.0</v>
      </c>
      <c r="C21" s="1">
        <v>208.46</v>
      </c>
      <c r="D21" s="1" t="s">
        <v>96</v>
      </c>
      <c r="E21" s="1" t="s">
        <v>659</v>
      </c>
      <c r="G21" s="1"/>
      <c r="J21" s="1" t="s">
        <v>41</v>
      </c>
      <c r="M21" s="38"/>
    </row>
    <row r="22">
      <c r="A22" s="1" t="s">
        <v>662</v>
      </c>
      <c r="B22" s="1">
        <v>4.0</v>
      </c>
      <c r="C22" s="1">
        <v>243.0</v>
      </c>
      <c r="D22" s="1" t="s">
        <v>96</v>
      </c>
      <c r="E22" s="1" t="s">
        <v>550</v>
      </c>
      <c r="G22" s="1"/>
      <c r="J22" s="1" t="s">
        <v>15</v>
      </c>
      <c r="M22" s="38"/>
    </row>
    <row r="23">
      <c r="A23" s="1" t="s">
        <v>663</v>
      </c>
      <c r="B23" s="1">
        <v>5.0</v>
      </c>
      <c r="C23" s="1">
        <v>20.0</v>
      </c>
      <c r="D23" s="1" t="s">
        <v>96</v>
      </c>
      <c r="E23" s="1" t="s">
        <v>664</v>
      </c>
      <c r="G23" s="1"/>
      <c r="J23" s="1" t="s">
        <v>44</v>
      </c>
      <c r="K23" s="42"/>
      <c r="M23" s="38"/>
    </row>
    <row r="24">
      <c r="A24" s="1" t="s">
        <v>665</v>
      </c>
      <c r="B24" s="1">
        <v>5.0</v>
      </c>
      <c r="C24" s="1">
        <v>434.0</v>
      </c>
      <c r="D24" s="1" t="s">
        <v>96</v>
      </c>
      <c r="E24" s="1" t="s">
        <v>550</v>
      </c>
      <c r="J24" s="1" t="s">
        <v>41</v>
      </c>
      <c r="M24" s="38"/>
      <c r="N24" s="42">
        <v>45324.0</v>
      </c>
    </row>
    <row r="25">
      <c r="A25" s="1" t="s">
        <v>643</v>
      </c>
      <c r="B25" s="1">
        <v>6.0</v>
      </c>
      <c r="C25" s="1">
        <v>10.0</v>
      </c>
      <c r="D25" s="1" t="s">
        <v>96</v>
      </c>
      <c r="E25" s="1" t="s">
        <v>664</v>
      </c>
      <c r="G25" s="1"/>
      <c r="J25" s="1" t="s">
        <v>24</v>
      </c>
      <c r="M25" s="38"/>
    </row>
    <row r="26">
      <c r="A26" s="1" t="s">
        <v>662</v>
      </c>
      <c r="B26" s="1">
        <v>7.0</v>
      </c>
      <c r="C26" s="1">
        <v>89.8</v>
      </c>
      <c r="D26" s="1" t="s">
        <v>96</v>
      </c>
      <c r="E26" s="1" t="s">
        <v>664</v>
      </c>
      <c r="G26" s="1"/>
      <c r="J26" s="1" t="s">
        <v>15</v>
      </c>
      <c r="M26" s="38"/>
      <c r="N26" s="42">
        <v>45354.0</v>
      </c>
    </row>
    <row r="27">
      <c r="A27" s="1" t="s">
        <v>666</v>
      </c>
      <c r="B27" s="1">
        <v>10.0</v>
      </c>
      <c r="C27" s="1">
        <v>4.5</v>
      </c>
      <c r="D27" s="1" t="s">
        <v>96</v>
      </c>
      <c r="E27" s="1" t="s">
        <v>564</v>
      </c>
      <c r="G27" s="1"/>
      <c r="J27" s="1" t="s">
        <v>29</v>
      </c>
      <c r="M27" s="38"/>
    </row>
    <row r="28">
      <c r="A28" s="1" t="s">
        <v>667</v>
      </c>
      <c r="B28" s="1">
        <v>13.0</v>
      </c>
      <c r="C28" s="1">
        <v>100.0</v>
      </c>
      <c r="D28" s="1" t="s">
        <v>96</v>
      </c>
      <c r="E28" s="1" t="s">
        <v>550</v>
      </c>
      <c r="G28" s="1"/>
      <c r="J28" s="1" t="s">
        <v>45</v>
      </c>
      <c r="M28" s="38"/>
    </row>
    <row r="29">
      <c r="A29" s="1" t="s">
        <v>668</v>
      </c>
      <c r="B29" s="1">
        <v>14.0</v>
      </c>
      <c r="C29" s="1">
        <v>534.01</v>
      </c>
      <c r="D29" s="1" t="s">
        <v>96</v>
      </c>
      <c r="E29" s="1" t="s">
        <v>550</v>
      </c>
      <c r="G29" s="1"/>
      <c r="J29" s="1" t="s">
        <v>27</v>
      </c>
      <c r="M29" s="38"/>
    </row>
    <row r="30">
      <c r="A30" s="1" t="s">
        <v>594</v>
      </c>
      <c r="B30" s="1">
        <v>17.0</v>
      </c>
      <c r="C30" s="1">
        <v>7.0</v>
      </c>
      <c r="D30" s="1" t="s">
        <v>96</v>
      </c>
      <c r="E30" s="1" t="s">
        <v>564</v>
      </c>
      <c r="G30" s="1"/>
      <c r="J30" s="1" t="s">
        <v>34</v>
      </c>
      <c r="M30" s="38"/>
    </row>
    <row r="31">
      <c r="A31" s="1" t="s">
        <v>669</v>
      </c>
      <c r="B31" s="1">
        <v>17.0</v>
      </c>
      <c r="C31" s="1">
        <v>40.0</v>
      </c>
      <c r="D31" s="1" t="s">
        <v>96</v>
      </c>
      <c r="E31" s="1" t="s">
        <v>550</v>
      </c>
      <c r="G31" s="1"/>
      <c r="J31" s="1" t="s">
        <v>29</v>
      </c>
      <c r="M31" s="38"/>
    </row>
    <row r="32">
      <c r="A32" s="1" t="s">
        <v>142</v>
      </c>
      <c r="B32" s="1">
        <v>17.0</v>
      </c>
      <c r="C32" s="1">
        <v>5.0</v>
      </c>
      <c r="D32" s="1" t="s">
        <v>96</v>
      </c>
      <c r="E32" s="1" t="s">
        <v>550</v>
      </c>
      <c r="G32" s="1"/>
      <c r="J32" s="1" t="s">
        <v>20</v>
      </c>
      <c r="M32" s="38"/>
    </row>
    <row r="33">
      <c r="A33" s="1" t="s">
        <v>670</v>
      </c>
      <c r="B33" s="1">
        <v>17.0</v>
      </c>
      <c r="C33" s="1">
        <v>61.55</v>
      </c>
      <c r="D33" s="1" t="s">
        <v>96</v>
      </c>
      <c r="E33" s="1" t="s">
        <v>550</v>
      </c>
      <c r="G33" s="1"/>
      <c r="J33" s="1" t="s">
        <v>18</v>
      </c>
      <c r="M33" s="38"/>
    </row>
    <row r="34">
      <c r="A34" s="1" t="s">
        <v>662</v>
      </c>
      <c r="B34" s="1">
        <v>17.0</v>
      </c>
      <c r="C34" s="1">
        <v>26.9</v>
      </c>
      <c r="D34" s="1" t="s">
        <v>96</v>
      </c>
      <c r="E34" s="1" t="s">
        <v>550</v>
      </c>
      <c r="G34" s="1"/>
      <c r="J34" s="1" t="s">
        <v>15</v>
      </c>
      <c r="M34" s="38"/>
    </row>
    <row r="35">
      <c r="A35" s="1" t="s">
        <v>662</v>
      </c>
      <c r="B35" s="1">
        <v>17.0</v>
      </c>
      <c r="C35" s="1">
        <v>89.99</v>
      </c>
      <c r="D35" s="1" t="s">
        <v>96</v>
      </c>
      <c r="E35" s="1" t="s">
        <v>550</v>
      </c>
      <c r="G35" s="1"/>
      <c r="J35" s="1" t="s">
        <v>15</v>
      </c>
      <c r="M35" s="38"/>
    </row>
    <row r="36">
      <c r="A36" s="1" t="s">
        <v>662</v>
      </c>
      <c r="B36" s="1">
        <v>18.0</v>
      </c>
      <c r="C36" s="1">
        <v>42.9</v>
      </c>
      <c r="D36" s="1" t="s">
        <v>96</v>
      </c>
      <c r="E36" s="1" t="s">
        <v>550</v>
      </c>
      <c r="G36" s="1"/>
      <c r="J36" s="1" t="s">
        <v>15</v>
      </c>
      <c r="M36" s="36" t="s">
        <v>43</v>
      </c>
    </row>
    <row r="37">
      <c r="A37" s="1" t="s">
        <v>142</v>
      </c>
      <c r="B37" s="1">
        <v>24.0</v>
      </c>
      <c r="C37" s="1">
        <v>5.0</v>
      </c>
      <c r="D37" s="1" t="s">
        <v>96</v>
      </c>
      <c r="E37" s="1" t="s">
        <v>564</v>
      </c>
      <c r="G37" s="1"/>
      <c r="J37" s="1" t="s">
        <v>20</v>
      </c>
      <c r="M37" s="38"/>
    </row>
    <row r="38">
      <c r="A38" s="1" t="s">
        <v>671</v>
      </c>
      <c r="B38" s="1">
        <v>28.0</v>
      </c>
      <c r="C38" s="1">
        <v>-730.0</v>
      </c>
      <c r="D38" s="1" t="s">
        <v>96</v>
      </c>
      <c r="E38" s="1" t="s">
        <v>550</v>
      </c>
      <c r="G38" s="1"/>
      <c r="J38" s="1" t="s">
        <v>28</v>
      </c>
      <c r="M38" s="38"/>
    </row>
    <row r="39">
      <c r="A39" s="1" t="s">
        <v>672</v>
      </c>
      <c r="B39" s="1">
        <v>28.0</v>
      </c>
      <c r="C39" s="1">
        <v>28.0</v>
      </c>
      <c r="D39" s="1" t="s">
        <v>96</v>
      </c>
      <c r="E39" s="1" t="s">
        <v>550</v>
      </c>
      <c r="G39" s="1"/>
      <c r="J39" s="1" t="s">
        <v>32</v>
      </c>
      <c r="M39" s="38"/>
    </row>
    <row r="40">
      <c r="A40" s="1" t="s">
        <v>673</v>
      </c>
      <c r="B40" s="1">
        <v>22.0</v>
      </c>
      <c r="C40" s="1">
        <v>81.36</v>
      </c>
      <c r="D40" s="1" t="s">
        <v>96</v>
      </c>
      <c r="E40" s="1" t="s">
        <v>133</v>
      </c>
      <c r="G40" s="1"/>
      <c r="J40" s="1" t="s">
        <v>18</v>
      </c>
      <c r="L40" s="42"/>
      <c r="M40" s="38"/>
    </row>
    <row r="41">
      <c r="A41" s="1" t="s">
        <v>577</v>
      </c>
      <c r="B41" s="1">
        <v>22.0</v>
      </c>
      <c r="C41" s="1">
        <v>46.77</v>
      </c>
      <c r="D41" s="1" t="s">
        <v>96</v>
      </c>
      <c r="E41" s="1" t="s">
        <v>133</v>
      </c>
      <c r="G41" s="1"/>
      <c r="J41" s="1" t="s">
        <v>24</v>
      </c>
      <c r="M41" s="38"/>
    </row>
    <row r="42">
      <c r="A42" s="1" t="s">
        <v>578</v>
      </c>
      <c r="B42" s="1">
        <v>22.0</v>
      </c>
      <c r="C42" s="1">
        <v>514.95</v>
      </c>
      <c r="D42" s="1" t="s">
        <v>96</v>
      </c>
      <c r="E42" s="1" t="s">
        <v>133</v>
      </c>
      <c r="G42" s="1"/>
      <c r="J42" s="1" t="s">
        <v>28</v>
      </c>
      <c r="M42" s="38"/>
    </row>
    <row r="43">
      <c r="A43" s="1" t="s">
        <v>674</v>
      </c>
      <c r="B43" s="1">
        <v>22.0</v>
      </c>
      <c r="C43" s="1">
        <v>72.62</v>
      </c>
      <c r="D43" s="1" t="s">
        <v>96</v>
      </c>
      <c r="E43" s="1" t="s">
        <v>133</v>
      </c>
      <c r="G43" s="1"/>
      <c r="J43" s="1" t="s">
        <v>34</v>
      </c>
      <c r="M43" s="38"/>
    </row>
    <row r="44">
      <c r="A44" s="1" t="s">
        <v>500</v>
      </c>
      <c r="B44" s="1">
        <v>21.0</v>
      </c>
      <c r="C44" s="1">
        <v>9.0</v>
      </c>
      <c r="D44" s="1" t="s">
        <v>96</v>
      </c>
      <c r="E44" s="1" t="s">
        <v>133</v>
      </c>
      <c r="G44" s="1"/>
      <c r="J44" s="1" t="s">
        <v>39</v>
      </c>
      <c r="M44" s="38"/>
    </row>
    <row r="45">
      <c r="A45" s="1" t="s">
        <v>675</v>
      </c>
      <c r="B45" s="1">
        <v>20.0</v>
      </c>
      <c r="C45" s="1">
        <v>193.01</v>
      </c>
      <c r="D45" s="1" t="s">
        <v>96</v>
      </c>
      <c r="E45" s="1" t="s">
        <v>133</v>
      </c>
      <c r="G45" s="1"/>
      <c r="J45" s="1" t="s">
        <v>29</v>
      </c>
      <c r="M45" s="38"/>
    </row>
    <row r="46">
      <c r="A46" s="48" t="s">
        <v>588</v>
      </c>
      <c r="B46" s="49">
        <v>20.0</v>
      </c>
      <c r="C46" s="1">
        <v>48.95</v>
      </c>
      <c r="D46" s="1" t="s">
        <v>96</v>
      </c>
      <c r="E46" s="1" t="s">
        <v>133</v>
      </c>
      <c r="G46" s="1"/>
      <c r="J46" s="1" t="s">
        <v>29</v>
      </c>
      <c r="M46" s="38"/>
    </row>
    <row r="47">
      <c r="A47" s="1" t="s">
        <v>500</v>
      </c>
      <c r="B47" s="1">
        <v>19.0</v>
      </c>
      <c r="C47" s="1">
        <v>4.0</v>
      </c>
      <c r="D47" s="1" t="s">
        <v>96</v>
      </c>
      <c r="E47" s="1" t="s">
        <v>133</v>
      </c>
      <c r="G47" s="1"/>
      <c r="J47" s="1" t="s">
        <v>39</v>
      </c>
      <c r="M47" s="38"/>
    </row>
    <row r="48">
      <c r="A48" s="1" t="s">
        <v>579</v>
      </c>
      <c r="B48" s="1">
        <v>18.0</v>
      </c>
      <c r="C48" s="1">
        <v>117.27</v>
      </c>
      <c r="D48" s="1" t="s">
        <v>96</v>
      </c>
      <c r="E48" s="1" t="s">
        <v>133</v>
      </c>
      <c r="G48" s="1"/>
      <c r="J48" s="1" t="s">
        <v>29</v>
      </c>
      <c r="M48" s="38"/>
    </row>
    <row r="49">
      <c r="A49" s="1" t="s">
        <v>676</v>
      </c>
      <c r="B49" s="1">
        <v>17.0</v>
      </c>
      <c r="C49" s="1">
        <v>24.0</v>
      </c>
      <c r="D49" s="1" t="s">
        <v>96</v>
      </c>
      <c r="E49" s="1" t="s">
        <v>133</v>
      </c>
      <c r="G49" s="1"/>
      <c r="J49" s="1" t="s">
        <v>24</v>
      </c>
      <c r="M49" s="38"/>
    </row>
    <row r="50">
      <c r="A50" s="1" t="s">
        <v>677</v>
      </c>
      <c r="B50" s="1">
        <v>15.0</v>
      </c>
      <c r="C50" s="1">
        <v>9.9</v>
      </c>
      <c r="D50" s="1" t="s">
        <v>96</v>
      </c>
      <c r="E50" s="1" t="s">
        <v>133</v>
      </c>
      <c r="G50" s="1"/>
      <c r="J50" s="1" t="s">
        <v>34</v>
      </c>
      <c r="M50" s="38"/>
    </row>
    <row r="51">
      <c r="A51" s="1" t="s">
        <v>502</v>
      </c>
      <c r="B51" s="1">
        <v>15.0</v>
      </c>
      <c r="C51" s="1">
        <v>280.38</v>
      </c>
      <c r="D51" s="1" t="s">
        <v>96</v>
      </c>
      <c r="E51" s="1" t="s">
        <v>133</v>
      </c>
      <c r="G51" s="1"/>
      <c r="J51" s="1" t="s">
        <v>29</v>
      </c>
      <c r="M51" s="38"/>
    </row>
    <row r="52">
      <c r="A52" s="1" t="s">
        <v>678</v>
      </c>
      <c r="B52" s="1">
        <v>15.0</v>
      </c>
      <c r="C52" s="1">
        <v>18.0</v>
      </c>
      <c r="D52" s="1" t="s">
        <v>96</v>
      </c>
      <c r="E52" s="1" t="s">
        <v>133</v>
      </c>
      <c r="G52" s="1"/>
      <c r="J52" s="1" t="s">
        <v>34</v>
      </c>
      <c r="M52" s="38"/>
    </row>
    <row r="53">
      <c r="A53" s="1" t="s">
        <v>679</v>
      </c>
      <c r="B53" s="1">
        <v>15.0</v>
      </c>
      <c r="C53" s="1">
        <v>89.0</v>
      </c>
      <c r="D53" s="1" t="s">
        <v>96</v>
      </c>
      <c r="E53" s="1" t="s">
        <v>133</v>
      </c>
      <c r="G53" s="1"/>
      <c r="J53" s="1" t="s">
        <v>32</v>
      </c>
      <c r="M53" s="38"/>
    </row>
    <row r="54">
      <c r="A54" s="1" t="s">
        <v>680</v>
      </c>
      <c r="B54" s="1">
        <v>15.0</v>
      </c>
      <c r="C54" s="1">
        <v>20.0</v>
      </c>
      <c r="D54" s="1" t="s">
        <v>96</v>
      </c>
      <c r="E54" s="1" t="s">
        <v>133</v>
      </c>
      <c r="G54" s="1"/>
      <c r="J54" s="1" t="s">
        <v>34</v>
      </c>
      <c r="M54" s="38"/>
    </row>
    <row r="55">
      <c r="A55" s="1" t="s">
        <v>681</v>
      </c>
      <c r="B55" s="1">
        <v>15.0</v>
      </c>
      <c r="C55" s="1">
        <v>22.25</v>
      </c>
      <c r="D55" s="1" t="s">
        <v>96</v>
      </c>
      <c r="E55" s="1" t="s">
        <v>133</v>
      </c>
      <c r="G55" s="1"/>
      <c r="J55" s="1" t="s">
        <v>32</v>
      </c>
      <c r="M55" s="38"/>
    </row>
    <row r="56">
      <c r="A56" s="1" t="s">
        <v>682</v>
      </c>
      <c r="B56" s="1">
        <v>14.0</v>
      </c>
      <c r="C56" s="1">
        <v>55.25</v>
      </c>
      <c r="D56" s="1" t="s">
        <v>96</v>
      </c>
      <c r="E56" s="1" t="s">
        <v>133</v>
      </c>
      <c r="G56" s="1"/>
      <c r="J56" s="1" t="s">
        <v>18</v>
      </c>
      <c r="M56" s="38"/>
    </row>
    <row r="57">
      <c r="A57" s="1" t="s">
        <v>581</v>
      </c>
      <c r="B57" s="1">
        <v>14.0</v>
      </c>
      <c r="C57" s="1">
        <v>65.8</v>
      </c>
      <c r="D57" s="1" t="s">
        <v>96</v>
      </c>
      <c r="E57" s="1" t="s">
        <v>133</v>
      </c>
      <c r="G57" s="1"/>
      <c r="J57" s="1" t="s">
        <v>34</v>
      </c>
      <c r="M57" s="38"/>
    </row>
    <row r="58">
      <c r="A58" s="1" t="s">
        <v>505</v>
      </c>
      <c r="B58" s="1">
        <v>14.0</v>
      </c>
      <c r="C58" s="1">
        <v>9.0</v>
      </c>
      <c r="D58" s="1" t="s">
        <v>96</v>
      </c>
      <c r="E58" s="1" t="s">
        <v>133</v>
      </c>
      <c r="G58" s="1"/>
      <c r="J58" s="1" t="s">
        <v>39</v>
      </c>
      <c r="M58" s="38"/>
    </row>
    <row r="59">
      <c r="A59" s="1" t="s">
        <v>504</v>
      </c>
      <c r="B59" s="1">
        <v>13.0</v>
      </c>
      <c r="C59" s="1">
        <v>109.92</v>
      </c>
      <c r="D59" s="1" t="s">
        <v>96</v>
      </c>
      <c r="E59" s="1" t="s">
        <v>133</v>
      </c>
      <c r="G59" s="1"/>
      <c r="J59" s="1" t="s">
        <v>29</v>
      </c>
      <c r="M59" s="38"/>
    </row>
    <row r="60">
      <c r="A60" s="1" t="s">
        <v>683</v>
      </c>
      <c r="B60" s="1">
        <v>13.0</v>
      </c>
      <c r="C60" s="1">
        <v>100.0</v>
      </c>
      <c r="D60" s="1" t="s">
        <v>96</v>
      </c>
      <c r="E60" s="1" t="s">
        <v>133</v>
      </c>
      <c r="G60" s="1"/>
      <c r="J60" s="1" t="s">
        <v>32</v>
      </c>
      <c r="M60" s="38"/>
    </row>
    <row r="61">
      <c r="A61" s="1" t="s">
        <v>505</v>
      </c>
      <c r="B61" s="1">
        <v>12.0</v>
      </c>
      <c r="C61" s="1">
        <v>4.0</v>
      </c>
      <c r="D61" s="1" t="s">
        <v>96</v>
      </c>
      <c r="E61" s="1" t="s">
        <v>133</v>
      </c>
      <c r="G61" s="1"/>
      <c r="J61" s="1" t="s">
        <v>39</v>
      </c>
      <c r="M61" s="38"/>
    </row>
    <row r="62">
      <c r="A62" s="1" t="s">
        <v>682</v>
      </c>
      <c r="B62" s="1">
        <v>11.0</v>
      </c>
      <c r="C62" s="1">
        <v>53.15</v>
      </c>
      <c r="D62" s="1" t="s">
        <v>96</v>
      </c>
      <c r="E62" s="1" t="s">
        <v>133</v>
      </c>
      <c r="G62" s="1"/>
      <c r="J62" s="1" t="s">
        <v>18</v>
      </c>
      <c r="M62" s="36" t="s">
        <v>476</v>
      </c>
    </row>
    <row r="63">
      <c r="A63" s="1" t="s">
        <v>684</v>
      </c>
      <c r="B63" s="1">
        <v>11.0</v>
      </c>
      <c r="C63" s="1">
        <v>12.0</v>
      </c>
      <c r="D63" s="1" t="s">
        <v>96</v>
      </c>
      <c r="E63" s="1" t="s">
        <v>133</v>
      </c>
      <c r="G63" s="1"/>
      <c r="J63" s="1" t="s">
        <v>32</v>
      </c>
      <c r="L63" s="42">
        <v>45323.0</v>
      </c>
      <c r="M63" s="36" t="s">
        <v>476</v>
      </c>
    </row>
    <row r="64">
      <c r="A64" s="50" t="s">
        <v>505</v>
      </c>
      <c r="B64" s="49">
        <v>10.0</v>
      </c>
      <c r="C64" s="1">
        <v>4.0</v>
      </c>
      <c r="D64" s="1" t="s">
        <v>96</v>
      </c>
      <c r="E64" s="1" t="s">
        <v>133</v>
      </c>
      <c r="G64" s="1"/>
      <c r="J64" s="1" t="s">
        <v>39</v>
      </c>
      <c r="M64" s="36" t="s">
        <v>476</v>
      </c>
    </row>
    <row r="65">
      <c r="A65" s="51" t="s">
        <v>685</v>
      </c>
      <c r="B65" s="1">
        <v>8.0</v>
      </c>
      <c r="C65" s="1">
        <v>89.9</v>
      </c>
      <c r="D65" s="1" t="s">
        <v>96</v>
      </c>
      <c r="E65" s="1" t="s">
        <v>133</v>
      </c>
      <c r="J65" s="1" t="s">
        <v>41</v>
      </c>
      <c r="M65" s="36" t="s">
        <v>476</v>
      </c>
    </row>
    <row r="66">
      <c r="A66" s="1" t="s">
        <v>686</v>
      </c>
      <c r="B66" s="1">
        <v>8.0</v>
      </c>
      <c r="C66" s="1">
        <v>33.5</v>
      </c>
      <c r="D66" s="1" t="s">
        <v>96</v>
      </c>
      <c r="E66" s="1" t="s">
        <v>133</v>
      </c>
      <c r="J66" s="1" t="s">
        <v>33</v>
      </c>
      <c r="M66" s="36" t="s">
        <v>476</v>
      </c>
    </row>
    <row r="67">
      <c r="A67" s="1" t="s">
        <v>687</v>
      </c>
      <c r="B67" s="1">
        <v>7.0</v>
      </c>
      <c r="C67" s="1">
        <v>328.57</v>
      </c>
      <c r="D67" s="1" t="s">
        <v>96</v>
      </c>
      <c r="E67" s="1" t="s">
        <v>133</v>
      </c>
      <c r="J67" s="1" t="s">
        <v>48</v>
      </c>
      <c r="M67" s="36" t="s">
        <v>476</v>
      </c>
    </row>
    <row r="68">
      <c r="A68" s="1" t="s">
        <v>688</v>
      </c>
      <c r="B68" s="1">
        <v>7.0</v>
      </c>
      <c r="C68" s="1">
        <v>32.0</v>
      </c>
      <c r="D68" s="1" t="s">
        <v>96</v>
      </c>
      <c r="E68" s="1" t="s">
        <v>133</v>
      </c>
      <c r="J68" s="1" t="s">
        <v>24</v>
      </c>
      <c r="M68" s="36" t="s">
        <v>476</v>
      </c>
    </row>
    <row r="69">
      <c r="A69" s="1" t="s">
        <v>581</v>
      </c>
      <c r="B69" s="1">
        <v>6.0</v>
      </c>
      <c r="C69" s="1">
        <v>63.8</v>
      </c>
      <c r="D69" s="1" t="s">
        <v>96</v>
      </c>
      <c r="E69" s="1" t="s">
        <v>133</v>
      </c>
      <c r="J69" s="1" t="s">
        <v>34</v>
      </c>
      <c r="M69" s="36" t="s">
        <v>476</v>
      </c>
    </row>
    <row r="70">
      <c r="A70" s="1" t="s">
        <v>682</v>
      </c>
      <c r="B70" s="1">
        <v>6.0</v>
      </c>
      <c r="C70" s="1">
        <v>56.07</v>
      </c>
      <c r="D70" s="1" t="s">
        <v>96</v>
      </c>
      <c r="E70" s="1" t="s">
        <v>133</v>
      </c>
      <c r="H70" s="1" t="s">
        <v>129</v>
      </c>
      <c r="I70" s="1" t="s">
        <v>129</v>
      </c>
      <c r="J70" s="1" t="s">
        <v>18</v>
      </c>
      <c r="K70" s="42">
        <v>44959.0</v>
      </c>
      <c r="M70" s="36" t="s">
        <v>476</v>
      </c>
    </row>
    <row r="71">
      <c r="A71" s="1" t="s">
        <v>689</v>
      </c>
      <c r="B71" s="1">
        <v>6.0</v>
      </c>
      <c r="C71" s="1">
        <v>24.99</v>
      </c>
      <c r="D71" s="1" t="s">
        <v>96</v>
      </c>
      <c r="E71" s="1" t="s">
        <v>133</v>
      </c>
      <c r="J71" s="1" t="s">
        <v>34</v>
      </c>
      <c r="M71" s="36" t="s">
        <v>476</v>
      </c>
    </row>
    <row r="72">
      <c r="A72" s="1" t="s">
        <v>690</v>
      </c>
      <c r="B72" s="1">
        <v>6.0</v>
      </c>
      <c r="C72" s="1">
        <v>41.0</v>
      </c>
      <c r="D72" s="1" t="s">
        <v>96</v>
      </c>
      <c r="E72" s="1" t="s">
        <v>133</v>
      </c>
      <c r="J72" s="1" t="s">
        <v>15</v>
      </c>
      <c r="M72" s="36" t="s">
        <v>476</v>
      </c>
    </row>
    <row r="73">
      <c r="A73" s="1" t="s">
        <v>505</v>
      </c>
      <c r="B73" s="1">
        <v>5.0</v>
      </c>
      <c r="C73" s="1">
        <v>4.0</v>
      </c>
      <c r="D73" s="1" t="s">
        <v>96</v>
      </c>
      <c r="E73" s="1" t="s">
        <v>133</v>
      </c>
      <c r="J73" s="1" t="s">
        <v>39</v>
      </c>
      <c r="M73" s="36" t="s">
        <v>476</v>
      </c>
    </row>
    <row r="74">
      <c r="A74" s="1" t="s">
        <v>688</v>
      </c>
      <c r="B74" s="1">
        <v>4.0</v>
      </c>
      <c r="C74" s="1">
        <v>32.0</v>
      </c>
      <c r="D74" s="1" t="s">
        <v>96</v>
      </c>
      <c r="E74" s="1" t="s">
        <v>133</v>
      </c>
      <c r="J74" s="1" t="s">
        <v>24</v>
      </c>
      <c r="M74" s="36" t="s">
        <v>476</v>
      </c>
    </row>
    <row r="75">
      <c r="A75" s="1" t="s">
        <v>691</v>
      </c>
      <c r="B75" s="1">
        <v>2.0</v>
      </c>
      <c r="C75" s="1">
        <v>33.46</v>
      </c>
      <c r="D75" s="1" t="s">
        <v>96</v>
      </c>
      <c r="E75" s="1" t="s">
        <v>133</v>
      </c>
      <c r="J75" s="1" t="s">
        <v>18</v>
      </c>
      <c r="M75" s="36" t="s">
        <v>476</v>
      </c>
    </row>
    <row r="76">
      <c r="A76" s="1" t="s">
        <v>502</v>
      </c>
      <c r="B76" s="1">
        <v>2.0</v>
      </c>
      <c r="C76" s="1">
        <v>93.76</v>
      </c>
      <c r="D76" s="1" t="s">
        <v>96</v>
      </c>
      <c r="E76" s="1" t="s">
        <v>133</v>
      </c>
      <c r="J76" s="1" t="s">
        <v>29</v>
      </c>
      <c r="M76" s="36" t="s">
        <v>476</v>
      </c>
    </row>
    <row r="77">
      <c r="A77" s="1" t="s">
        <v>692</v>
      </c>
      <c r="B77" s="1">
        <v>2.0</v>
      </c>
      <c r="C77" s="1">
        <v>877.35</v>
      </c>
      <c r="D77" s="1" t="s">
        <v>96</v>
      </c>
      <c r="E77" s="1" t="s">
        <v>133</v>
      </c>
      <c r="J77" s="1" t="s">
        <v>28</v>
      </c>
      <c r="M77" s="36" t="s">
        <v>476</v>
      </c>
    </row>
    <row r="78">
      <c r="A78" s="1" t="s">
        <v>693</v>
      </c>
      <c r="B78" s="1">
        <v>2.0</v>
      </c>
      <c r="C78" s="1">
        <v>18.99</v>
      </c>
      <c r="D78" s="1" t="s">
        <v>96</v>
      </c>
      <c r="E78" s="1" t="s">
        <v>133</v>
      </c>
      <c r="J78" s="1" t="s">
        <v>29</v>
      </c>
      <c r="M78" s="36" t="s">
        <v>476</v>
      </c>
    </row>
    <row r="79">
      <c r="A79" s="1" t="s">
        <v>694</v>
      </c>
      <c r="B79" s="1">
        <v>1.0</v>
      </c>
      <c r="C79" s="1">
        <v>34.9</v>
      </c>
      <c r="D79" s="1" t="s">
        <v>96</v>
      </c>
      <c r="E79" s="1" t="s">
        <v>133</v>
      </c>
      <c r="J79" s="1" t="s">
        <v>28</v>
      </c>
      <c r="M79" s="38"/>
    </row>
    <row r="80">
      <c r="A80" s="1" t="s">
        <v>504</v>
      </c>
      <c r="B80" s="1">
        <v>1.0</v>
      </c>
      <c r="C80" s="1">
        <v>107.45</v>
      </c>
      <c r="D80" s="1" t="s">
        <v>96</v>
      </c>
      <c r="E80" s="1" t="s">
        <v>133</v>
      </c>
      <c r="J80" s="1" t="s">
        <v>29</v>
      </c>
      <c r="M80" s="38"/>
    </row>
    <row r="81">
      <c r="A81" s="1" t="s">
        <v>587</v>
      </c>
      <c r="B81" s="1">
        <v>1.0</v>
      </c>
      <c r="C81" s="1">
        <v>7.11</v>
      </c>
      <c r="D81" s="1" t="s">
        <v>96</v>
      </c>
      <c r="E81" s="1" t="s">
        <v>133</v>
      </c>
      <c r="J81" s="1" t="s">
        <v>24</v>
      </c>
      <c r="M81" s="38"/>
    </row>
    <row r="82">
      <c r="A82" s="1" t="s">
        <v>597</v>
      </c>
      <c r="B82" s="1">
        <v>1.0</v>
      </c>
      <c r="C82" s="1">
        <v>25.33</v>
      </c>
      <c r="D82" s="1" t="s">
        <v>96</v>
      </c>
      <c r="E82" s="1" t="s">
        <v>133</v>
      </c>
      <c r="J82" s="1" t="s">
        <v>25</v>
      </c>
      <c r="M82" s="38"/>
    </row>
    <row r="83">
      <c r="A83" s="1" t="s">
        <v>503</v>
      </c>
      <c r="B83" s="1">
        <v>1.0</v>
      </c>
      <c r="C83" s="1">
        <v>30.97</v>
      </c>
      <c r="D83" s="1" t="s">
        <v>96</v>
      </c>
      <c r="E83" s="1" t="s">
        <v>133</v>
      </c>
      <c r="J83" s="1" t="s">
        <v>34</v>
      </c>
      <c r="M83" s="38"/>
    </row>
    <row r="84">
      <c r="A84" s="1" t="s">
        <v>695</v>
      </c>
      <c r="B84" s="1">
        <v>1.0</v>
      </c>
      <c r="C84" s="1">
        <v>7.0</v>
      </c>
      <c r="D84" s="1" t="s">
        <v>96</v>
      </c>
      <c r="E84" s="1" t="s">
        <v>133</v>
      </c>
      <c r="J84" s="1" t="s">
        <v>32</v>
      </c>
      <c r="M84" s="38"/>
    </row>
    <row r="85">
      <c r="A85" s="1" t="s">
        <v>501</v>
      </c>
      <c r="B85" s="1">
        <v>0.0</v>
      </c>
      <c r="C85" s="1">
        <v>190.31</v>
      </c>
      <c r="D85" s="1" t="s">
        <v>96</v>
      </c>
      <c r="E85" s="1" t="s">
        <v>133</v>
      </c>
      <c r="J85" s="1" t="s">
        <v>29</v>
      </c>
      <c r="M85" s="38"/>
    </row>
    <row r="86">
      <c r="A86" s="1" t="s">
        <v>696</v>
      </c>
      <c r="B86" s="1">
        <v>0.0</v>
      </c>
      <c r="C86" s="1">
        <v>1638.0</v>
      </c>
      <c r="D86" s="1" t="s">
        <v>96</v>
      </c>
      <c r="E86" s="1" t="s">
        <v>133</v>
      </c>
      <c r="J86" s="1" t="s">
        <v>35</v>
      </c>
      <c r="M86" s="38"/>
    </row>
    <row r="87">
      <c r="A87" s="1" t="s">
        <v>675</v>
      </c>
      <c r="B87" s="1">
        <v>0.0</v>
      </c>
      <c r="C87" s="1">
        <v>11.06</v>
      </c>
      <c r="D87" s="1" t="s">
        <v>96</v>
      </c>
      <c r="E87" s="1" t="s">
        <v>133</v>
      </c>
      <c r="J87" s="1" t="s">
        <v>29</v>
      </c>
      <c r="M87" s="38"/>
    </row>
    <row r="88">
      <c r="A88" s="1" t="s">
        <v>697</v>
      </c>
      <c r="B88" s="1">
        <v>0.0</v>
      </c>
      <c r="C88" s="1">
        <v>27.0</v>
      </c>
      <c r="D88" s="1" t="s">
        <v>96</v>
      </c>
      <c r="E88" s="1" t="s">
        <v>133</v>
      </c>
      <c r="J88" s="1" t="s">
        <v>41</v>
      </c>
      <c r="M88" s="38"/>
    </row>
    <row r="89">
      <c r="A89" s="1" t="s">
        <v>581</v>
      </c>
      <c r="B89" s="1">
        <v>0.0</v>
      </c>
      <c r="C89" s="1">
        <v>63.8</v>
      </c>
      <c r="D89" s="1" t="s">
        <v>96</v>
      </c>
      <c r="E89" s="1" t="s">
        <v>133</v>
      </c>
      <c r="J89" s="1" t="s">
        <v>34</v>
      </c>
      <c r="M89" s="38"/>
    </row>
    <row r="90">
      <c r="A90" s="1" t="s">
        <v>698</v>
      </c>
      <c r="B90" s="1">
        <v>0.0</v>
      </c>
      <c r="C90" s="1">
        <v>207.43</v>
      </c>
      <c r="D90" s="1" t="s">
        <v>96</v>
      </c>
      <c r="E90" s="1" t="s">
        <v>133</v>
      </c>
      <c r="J90" s="1" t="s">
        <v>29</v>
      </c>
      <c r="M90" s="38"/>
    </row>
    <row r="91">
      <c r="A91" s="1" t="s">
        <v>699</v>
      </c>
      <c r="B91" s="1">
        <v>0.0</v>
      </c>
      <c r="C91" s="1">
        <v>24.0</v>
      </c>
      <c r="D91" s="1" t="s">
        <v>96</v>
      </c>
      <c r="E91" s="1" t="s">
        <v>133</v>
      </c>
      <c r="J91" s="1" t="s">
        <v>32</v>
      </c>
      <c r="M91" s="38"/>
    </row>
    <row r="92">
      <c r="A92" s="1" t="s">
        <v>688</v>
      </c>
      <c r="B92" s="1">
        <v>0.0</v>
      </c>
      <c r="C92" s="1">
        <v>32.0</v>
      </c>
      <c r="D92" s="1" t="s">
        <v>96</v>
      </c>
      <c r="E92" s="1" t="s">
        <v>133</v>
      </c>
      <c r="J92" s="1" t="s">
        <v>24</v>
      </c>
      <c r="M92" s="38"/>
    </row>
    <row r="93">
      <c r="A93" s="1" t="s">
        <v>505</v>
      </c>
      <c r="B93" s="1">
        <v>0.0</v>
      </c>
      <c r="C93" s="1">
        <v>4.0</v>
      </c>
      <c r="D93" s="1" t="s">
        <v>96</v>
      </c>
      <c r="E93" s="1" t="s">
        <v>133</v>
      </c>
      <c r="J93" s="1" t="s">
        <v>39</v>
      </c>
      <c r="M93" s="38"/>
    </row>
    <row r="94">
      <c r="A94" s="1" t="s">
        <v>700</v>
      </c>
      <c r="B94" s="1">
        <v>14.0</v>
      </c>
      <c r="C94" s="1">
        <v>15.0</v>
      </c>
      <c r="D94" s="1" t="s">
        <v>96</v>
      </c>
      <c r="E94" s="1" t="s">
        <v>603</v>
      </c>
      <c r="J94" s="1" t="s">
        <v>34</v>
      </c>
      <c r="M94" s="38"/>
    </row>
    <row r="95">
      <c r="A95" s="1" t="s">
        <v>701</v>
      </c>
      <c r="B95" s="1">
        <v>19.0</v>
      </c>
      <c r="C95" s="1">
        <v>65.0</v>
      </c>
      <c r="D95" s="1" t="s">
        <v>96</v>
      </c>
      <c r="E95" s="1" t="s">
        <v>603</v>
      </c>
      <c r="J95" s="1" t="s">
        <v>34</v>
      </c>
      <c r="M95" s="38"/>
    </row>
    <row r="96">
      <c r="A96" s="1" t="s">
        <v>700</v>
      </c>
      <c r="B96" s="1">
        <v>22.0</v>
      </c>
      <c r="C96" s="1">
        <v>15.0</v>
      </c>
      <c r="D96" s="1" t="s">
        <v>96</v>
      </c>
      <c r="E96" s="1" t="s">
        <v>603</v>
      </c>
      <c r="J96" s="1" t="s">
        <v>34</v>
      </c>
      <c r="M96" s="38"/>
    </row>
    <row r="97">
      <c r="A97" s="1" t="s">
        <v>602</v>
      </c>
      <c r="B97" s="1">
        <v>10.0</v>
      </c>
      <c r="C97" s="1">
        <v>60.0</v>
      </c>
      <c r="D97" s="1" t="s">
        <v>96</v>
      </c>
      <c r="E97" s="1" t="s">
        <v>603</v>
      </c>
      <c r="J97" s="1" t="s">
        <v>34</v>
      </c>
      <c r="M97" s="38"/>
    </row>
    <row r="98">
      <c r="A98" s="1" t="s">
        <v>700</v>
      </c>
      <c r="B98" s="1">
        <v>1.0</v>
      </c>
      <c r="C98" s="1">
        <v>15.0</v>
      </c>
      <c r="D98" s="1" t="s">
        <v>96</v>
      </c>
      <c r="E98" s="1" t="s">
        <v>603</v>
      </c>
      <c r="J98" s="1" t="s">
        <v>34</v>
      </c>
      <c r="M98" s="38"/>
    </row>
    <row r="99">
      <c r="A99" s="1" t="s">
        <v>702</v>
      </c>
      <c r="B99" s="1">
        <v>28.0</v>
      </c>
      <c r="C99" s="1">
        <v>273.0</v>
      </c>
      <c r="D99" s="1" t="s">
        <v>96</v>
      </c>
      <c r="E99" s="1" t="s">
        <v>117</v>
      </c>
      <c r="J99" s="1" t="s">
        <v>41</v>
      </c>
      <c r="M99" s="38"/>
    </row>
    <row r="100">
      <c r="A100" s="1" t="s">
        <v>702</v>
      </c>
      <c r="B100" s="1">
        <v>28.0</v>
      </c>
      <c r="C100" s="1">
        <v>91.28</v>
      </c>
      <c r="D100" s="1" t="s">
        <v>96</v>
      </c>
      <c r="E100" s="1" t="s">
        <v>117</v>
      </c>
      <c r="J100" s="1" t="s">
        <v>44</v>
      </c>
      <c r="M100" s="38"/>
    </row>
    <row r="101">
      <c r="A101" s="1" t="s">
        <v>703</v>
      </c>
      <c r="B101" s="1">
        <v>21.0</v>
      </c>
      <c r="C101" s="1">
        <v>38.0</v>
      </c>
      <c r="D101" s="1" t="s">
        <v>96</v>
      </c>
      <c r="E101" s="1" t="s">
        <v>117</v>
      </c>
      <c r="J101" s="1" t="s">
        <v>15</v>
      </c>
      <c r="M101" s="38"/>
    </row>
    <row r="102">
      <c r="A102" s="1" t="s">
        <v>704</v>
      </c>
      <c r="B102" s="1">
        <v>11.0</v>
      </c>
      <c r="C102" s="1">
        <v>218.89</v>
      </c>
      <c r="D102" s="1" t="s">
        <v>96</v>
      </c>
      <c r="E102" s="1" t="s">
        <v>604</v>
      </c>
      <c r="J102" s="1" t="s">
        <v>15</v>
      </c>
      <c r="M102" s="38"/>
    </row>
    <row r="103">
      <c r="A103" s="1" t="s">
        <v>554</v>
      </c>
      <c r="B103" s="1">
        <v>10.0</v>
      </c>
      <c r="C103" s="1">
        <v>500.0</v>
      </c>
      <c r="D103" s="1" t="s">
        <v>96</v>
      </c>
      <c r="E103" s="1" t="s">
        <v>604</v>
      </c>
      <c r="J103" s="1" t="s">
        <v>45</v>
      </c>
      <c r="M103" s="38"/>
    </row>
    <row r="104">
      <c r="A104" s="1"/>
      <c r="J104" s="14"/>
      <c r="M104" s="38"/>
    </row>
    <row r="105">
      <c r="A105" s="1" t="s">
        <v>236</v>
      </c>
      <c r="C105" s="1">
        <f>9167.28*0.3-(633.9)</f>
        <v>2116.284</v>
      </c>
      <c r="M105" s="38"/>
    </row>
    <row r="106">
      <c r="A106" s="1" t="s">
        <v>50</v>
      </c>
      <c r="C106" s="8">
        <f>SUM(C2:C100)</f>
        <v>10857.06</v>
      </c>
      <c r="D106" s="8">
        <f>(9167.28)-C106-C105</f>
        <v>-3806.064</v>
      </c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6" t="s">
        <v>240</v>
      </c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B159" s="8">
        <f>9167.28-B155</f>
        <v>7821.65</v>
      </c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</sheetData>
  <autoFilter ref="$A$1:$BV$18">
    <filterColumn colId="9">
      <filters>
        <filter val="seguro"/>
        <filter val="cursos"/>
        <filter val="streaming"/>
        <filter val="escola/faculdade"/>
        <filter val="academia"/>
        <filter val="Internet movel"/>
        <filter val="manutenção domiciliar"/>
        <filter val="dentista"/>
        <filter val="Internet"/>
        <filter val="Energia"/>
        <filter val="contabilidade"/>
      </filters>
    </filterColumn>
    <sortState ref="A1:BV18">
      <sortCondition ref="J1:J18"/>
    </sortState>
  </autoFilter>
  <conditionalFormatting sqref="B159">
    <cfRule type="cellIs" dxfId="1" priority="1" operator="greaterThanOrEqual">
      <formula>0</formula>
    </cfRule>
  </conditionalFormatting>
  <conditionalFormatting sqref="B159">
    <cfRule type="cellIs" dxfId="2" priority="2" operator="lessThan">
      <formula>0</formula>
    </cfRule>
  </conditionalFormatting>
  <dataValidations>
    <dataValidation type="list" allowBlank="1" showErrorMessage="1" sqref="J2:J104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veicular,ferias,projetos,dentista,reforma casa,painel solar,pix aline"</formula1>
    </dataValidation>
  </dataValidation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789.0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695.78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104</v>
      </c>
      <c r="B4" s="1">
        <v>5.0</v>
      </c>
      <c r="C4" s="37">
        <v>140.0</v>
      </c>
      <c r="D4" s="1" t="s">
        <v>96</v>
      </c>
      <c r="E4" s="1" t="s">
        <v>105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47</v>
      </c>
      <c r="L4" s="1" t="s">
        <v>101</v>
      </c>
      <c r="M4" s="38"/>
    </row>
    <row r="5">
      <c r="A5" s="2" t="s">
        <v>106</v>
      </c>
      <c r="B5" s="2">
        <v>14.0</v>
      </c>
      <c r="C5" s="40">
        <v>0.0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132.55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113</v>
      </c>
      <c r="B7" s="1">
        <v>25.0</v>
      </c>
      <c r="C7" s="37">
        <v>99.9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0.0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27.99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0.0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244.12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85.9+129.9</f>
        <v>215.8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131</v>
      </c>
      <c r="B18" s="1">
        <v>10.0</v>
      </c>
      <c r="C18" s="37">
        <v>20.0</v>
      </c>
      <c r="D18" s="1" t="s">
        <v>112</v>
      </c>
      <c r="E18" s="1" t="s">
        <v>132</v>
      </c>
      <c r="F18" s="1" t="s">
        <v>107</v>
      </c>
      <c r="G18" s="1" t="s">
        <v>118</v>
      </c>
      <c r="H18" s="1" t="s">
        <v>109</v>
      </c>
      <c r="I18" s="1" t="s">
        <v>100</v>
      </c>
      <c r="J18" s="1" t="s">
        <v>41</v>
      </c>
      <c r="L18" s="1"/>
      <c r="M18" s="38"/>
    </row>
    <row r="19">
      <c r="A19" s="1" t="s">
        <v>555</v>
      </c>
      <c r="B19" s="1">
        <v>6.0</v>
      </c>
      <c r="C19" s="1">
        <v>30.0</v>
      </c>
      <c r="D19" s="1" t="s">
        <v>96</v>
      </c>
      <c r="E19" s="1" t="s">
        <v>659</v>
      </c>
      <c r="G19" s="1"/>
      <c r="J19" s="1" t="s">
        <v>21</v>
      </c>
      <c r="M19" s="38"/>
    </row>
    <row r="20">
      <c r="A20" s="1" t="s">
        <v>554</v>
      </c>
      <c r="B20" s="1">
        <v>10.0</v>
      </c>
      <c r="C20" s="1">
        <v>630.0</v>
      </c>
      <c r="D20" s="1" t="s">
        <v>96</v>
      </c>
      <c r="E20" s="1" t="s">
        <v>550</v>
      </c>
      <c r="G20" s="1"/>
      <c r="J20" s="1" t="s">
        <v>45</v>
      </c>
      <c r="M20" s="38"/>
    </row>
    <row r="21">
      <c r="A21" s="1" t="s">
        <v>551</v>
      </c>
      <c r="B21" s="1">
        <v>10.0</v>
      </c>
      <c r="C21" s="1">
        <v>10.0</v>
      </c>
      <c r="D21" s="1" t="s">
        <v>96</v>
      </c>
      <c r="E21" s="1" t="s">
        <v>550</v>
      </c>
      <c r="G21" s="1"/>
      <c r="J21" s="1" t="s">
        <v>34</v>
      </c>
      <c r="M21" s="38"/>
    </row>
    <row r="22">
      <c r="A22" s="1" t="s">
        <v>705</v>
      </c>
      <c r="B22" s="1">
        <v>10.0</v>
      </c>
      <c r="C22" s="1">
        <v>200.0</v>
      </c>
      <c r="D22" s="1" t="s">
        <v>96</v>
      </c>
      <c r="E22" s="1" t="s">
        <v>550</v>
      </c>
      <c r="G22" s="1"/>
      <c r="J22" s="1" t="s">
        <v>32</v>
      </c>
      <c r="M22" s="38"/>
    </row>
    <row r="23">
      <c r="A23" s="1" t="s">
        <v>706</v>
      </c>
      <c r="B23" s="1">
        <v>11.0</v>
      </c>
      <c r="C23" s="1">
        <v>68.5</v>
      </c>
      <c r="D23" s="1" t="s">
        <v>96</v>
      </c>
      <c r="E23" s="1" t="s">
        <v>564</v>
      </c>
      <c r="G23" s="1"/>
      <c r="J23" s="1" t="s">
        <v>40</v>
      </c>
      <c r="K23" s="42"/>
      <c r="M23" s="38"/>
    </row>
    <row r="24">
      <c r="A24" s="1" t="s">
        <v>707</v>
      </c>
      <c r="B24" s="1">
        <v>11.0</v>
      </c>
      <c r="C24" s="1">
        <v>12.9</v>
      </c>
      <c r="D24" s="1" t="s">
        <v>96</v>
      </c>
      <c r="E24" s="1" t="s">
        <v>564</v>
      </c>
      <c r="J24" s="1" t="s">
        <v>40</v>
      </c>
      <c r="M24" s="38"/>
      <c r="N24" s="42">
        <v>45324.0</v>
      </c>
    </row>
    <row r="25">
      <c r="A25" s="1" t="s">
        <v>708</v>
      </c>
      <c r="B25" s="1">
        <v>12.0</v>
      </c>
      <c r="C25" s="1">
        <v>8.0</v>
      </c>
      <c r="D25" s="1" t="s">
        <v>96</v>
      </c>
      <c r="E25" s="1" t="s">
        <v>564</v>
      </c>
      <c r="G25" s="1"/>
      <c r="J25" s="1" t="s">
        <v>20</v>
      </c>
      <c r="M25" s="38"/>
    </row>
    <row r="26">
      <c r="A26" s="1" t="s">
        <v>562</v>
      </c>
      <c r="B26" s="1">
        <v>13.0</v>
      </c>
      <c r="C26" s="1">
        <v>208.46</v>
      </c>
      <c r="D26" s="1" t="s">
        <v>96</v>
      </c>
      <c r="E26" s="1" t="s">
        <v>550</v>
      </c>
      <c r="G26" s="1"/>
      <c r="J26" s="1" t="s">
        <v>42</v>
      </c>
      <c r="M26" s="38"/>
      <c r="N26" s="42">
        <v>45354.0</v>
      </c>
    </row>
    <row r="27">
      <c r="A27" s="1" t="s">
        <v>709</v>
      </c>
      <c r="B27" s="1">
        <v>14.0</v>
      </c>
      <c r="C27" s="1">
        <v>7.0</v>
      </c>
      <c r="D27" s="1" t="s">
        <v>96</v>
      </c>
      <c r="E27" s="1" t="s">
        <v>564</v>
      </c>
      <c r="G27" s="1"/>
      <c r="J27" s="1" t="s">
        <v>34</v>
      </c>
      <c r="M27" s="38"/>
    </row>
    <row r="28">
      <c r="A28" s="1" t="s">
        <v>551</v>
      </c>
      <c r="B28" s="1">
        <v>14.0</v>
      </c>
      <c r="C28" s="1">
        <v>10.0</v>
      </c>
      <c r="D28" s="1" t="s">
        <v>96</v>
      </c>
      <c r="E28" s="1" t="s">
        <v>550</v>
      </c>
      <c r="G28" s="1"/>
      <c r="J28" s="1" t="s">
        <v>34</v>
      </c>
      <c r="M28" s="38"/>
    </row>
    <row r="29">
      <c r="A29" s="1" t="s">
        <v>710</v>
      </c>
      <c r="B29" s="1">
        <v>18.0</v>
      </c>
      <c r="C29" s="1">
        <v>95.4</v>
      </c>
      <c r="D29" s="1" t="s">
        <v>96</v>
      </c>
      <c r="E29" s="1" t="s">
        <v>550</v>
      </c>
      <c r="G29" s="1"/>
      <c r="J29" s="1" t="s">
        <v>28</v>
      </c>
      <c r="M29" s="38"/>
    </row>
    <row r="30">
      <c r="A30" s="1" t="s">
        <v>209</v>
      </c>
      <c r="B30" s="1">
        <v>20.0</v>
      </c>
      <c r="C30" s="1">
        <v>6.95</v>
      </c>
      <c r="D30" s="1" t="s">
        <v>96</v>
      </c>
      <c r="E30" s="1" t="s">
        <v>564</v>
      </c>
      <c r="G30" s="1"/>
      <c r="J30" s="1" t="s">
        <v>24</v>
      </c>
      <c r="M30" s="38"/>
    </row>
    <row r="31">
      <c r="A31" s="1" t="s">
        <v>711</v>
      </c>
      <c r="B31" s="1">
        <v>20.0</v>
      </c>
      <c r="C31" s="1">
        <v>700.0</v>
      </c>
      <c r="D31" s="1" t="s">
        <v>96</v>
      </c>
      <c r="E31" s="1" t="s">
        <v>550</v>
      </c>
      <c r="G31" s="1"/>
      <c r="J31" s="1" t="s">
        <v>46</v>
      </c>
      <c r="M31" s="38"/>
    </row>
    <row r="32">
      <c r="A32" s="1" t="s">
        <v>711</v>
      </c>
      <c r="B32" s="1">
        <v>25.0</v>
      </c>
      <c r="C32" s="1">
        <v>700.0</v>
      </c>
      <c r="D32" s="1" t="s">
        <v>96</v>
      </c>
      <c r="E32" s="1" t="s">
        <v>550</v>
      </c>
      <c r="G32" s="1"/>
      <c r="J32" s="1" t="s">
        <v>46</v>
      </c>
      <c r="M32" s="38"/>
    </row>
    <row r="33">
      <c r="A33" s="1" t="s">
        <v>712</v>
      </c>
      <c r="B33" s="1">
        <v>31.0</v>
      </c>
      <c r="C33" s="1">
        <v>-730.0</v>
      </c>
      <c r="D33" s="1" t="s">
        <v>96</v>
      </c>
      <c r="E33" s="1" t="s">
        <v>133</v>
      </c>
      <c r="G33" s="1"/>
      <c r="J33" s="1" t="s">
        <v>28</v>
      </c>
      <c r="M33" s="38"/>
    </row>
    <row r="34">
      <c r="A34" s="1" t="s">
        <v>372</v>
      </c>
      <c r="B34" s="1">
        <v>31.0</v>
      </c>
      <c r="C34" s="1">
        <v>178.84</v>
      </c>
      <c r="D34" s="1" t="s">
        <v>96</v>
      </c>
      <c r="E34" s="1" t="s">
        <v>133</v>
      </c>
      <c r="G34" s="1"/>
      <c r="J34" s="1" t="s">
        <v>32</v>
      </c>
      <c r="M34" s="38"/>
    </row>
    <row r="35">
      <c r="A35" s="1" t="s">
        <v>372</v>
      </c>
      <c r="B35" s="1">
        <v>31.0</v>
      </c>
      <c r="C35" s="1">
        <v>102.0</v>
      </c>
      <c r="D35" s="1" t="s">
        <v>96</v>
      </c>
      <c r="E35" s="1" t="s">
        <v>133</v>
      </c>
      <c r="G35" s="1"/>
      <c r="J35" s="1" t="s">
        <v>32</v>
      </c>
      <c r="M35" s="38"/>
    </row>
    <row r="36">
      <c r="A36" s="1" t="s">
        <v>713</v>
      </c>
      <c r="B36" s="1">
        <v>31.0</v>
      </c>
      <c r="C36" s="1">
        <v>20.0</v>
      </c>
      <c r="D36" s="1" t="s">
        <v>96</v>
      </c>
      <c r="E36" s="1" t="s">
        <v>133</v>
      </c>
      <c r="G36" s="1"/>
      <c r="J36" s="1" t="s">
        <v>21</v>
      </c>
      <c r="M36" s="38"/>
    </row>
    <row r="37">
      <c r="A37" s="1" t="s">
        <v>505</v>
      </c>
      <c r="B37" s="1">
        <v>25.0</v>
      </c>
      <c r="C37" s="1">
        <v>4.0</v>
      </c>
      <c r="D37" s="1" t="s">
        <v>96</v>
      </c>
      <c r="E37" s="1" t="s">
        <v>133</v>
      </c>
      <c r="G37" s="1"/>
      <c r="J37" s="1" t="s">
        <v>39</v>
      </c>
      <c r="M37" s="36" t="s">
        <v>43</v>
      </c>
    </row>
    <row r="38">
      <c r="A38" s="1" t="s">
        <v>714</v>
      </c>
      <c r="B38" s="1">
        <v>24.0</v>
      </c>
      <c r="C38" s="1">
        <v>39.0</v>
      </c>
      <c r="D38" s="1" t="s">
        <v>96</v>
      </c>
      <c r="E38" s="1" t="s">
        <v>133</v>
      </c>
      <c r="G38" s="1"/>
      <c r="J38" s="1" t="s">
        <v>29</v>
      </c>
      <c r="M38" s="38"/>
    </row>
    <row r="39">
      <c r="A39" s="1" t="s">
        <v>715</v>
      </c>
      <c r="B39" s="1">
        <v>23.0</v>
      </c>
      <c r="C39" s="1">
        <v>23.75</v>
      </c>
      <c r="D39" s="1" t="s">
        <v>96</v>
      </c>
      <c r="E39" s="1" t="s">
        <v>133</v>
      </c>
      <c r="G39" s="1"/>
      <c r="J39" s="1" t="s">
        <v>29</v>
      </c>
      <c r="M39" s="38"/>
    </row>
    <row r="40">
      <c r="A40" s="1" t="s">
        <v>716</v>
      </c>
      <c r="B40" s="1">
        <v>22.0</v>
      </c>
      <c r="C40" s="1">
        <v>133.9</v>
      </c>
      <c r="D40" s="1" t="s">
        <v>96</v>
      </c>
      <c r="E40" s="1" t="s">
        <v>133</v>
      </c>
      <c r="G40" s="1"/>
      <c r="J40" s="1" t="s">
        <v>28</v>
      </c>
      <c r="M40" s="38"/>
    </row>
    <row r="41">
      <c r="A41" s="1" t="s">
        <v>588</v>
      </c>
      <c r="B41" s="1">
        <v>22.0</v>
      </c>
      <c r="C41" s="1">
        <v>36.27</v>
      </c>
      <c r="D41" s="1" t="s">
        <v>96</v>
      </c>
      <c r="E41" s="1" t="s">
        <v>133</v>
      </c>
      <c r="G41" s="1"/>
      <c r="J41" s="1" t="s">
        <v>29</v>
      </c>
      <c r="L41" s="42"/>
      <c r="M41" s="38"/>
    </row>
    <row r="42">
      <c r="A42" s="1" t="s">
        <v>577</v>
      </c>
      <c r="B42" s="1">
        <v>22.0</v>
      </c>
      <c r="C42" s="1">
        <v>35.06</v>
      </c>
      <c r="D42" s="1" t="s">
        <v>96</v>
      </c>
      <c r="E42" s="1" t="s">
        <v>133</v>
      </c>
      <c r="G42" s="1"/>
      <c r="J42" s="1" t="s">
        <v>24</v>
      </c>
      <c r="M42" s="38"/>
    </row>
    <row r="43">
      <c r="A43" s="1" t="s">
        <v>717</v>
      </c>
      <c r="B43" s="1">
        <v>22.0</v>
      </c>
      <c r="C43" s="1">
        <v>14.99</v>
      </c>
      <c r="D43" s="1" t="s">
        <v>96</v>
      </c>
      <c r="E43" s="1" t="s">
        <v>133</v>
      </c>
      <c r="G43" s="1"/>
      <c r="J43" s="1" t="s">
        <v>31</v>
      </c>
      <c r="M43" s="38"/>
    </row>
    <row r="44">
      <c r="A44" s="1" t="s">
        <v>580</v>
      </c>
      <c r="B44" s="1">
        <v>22.0</v>
      </c>
      <c r="C44" s="1">
        <v>53.44</v>
      </c>
      <c r="D44" s="1" t="s">
        <v>96</v>
      </c>
      <c r="E44" s="1" t="s">
        <v>133</v>
      </c>
      <c r="G44" s="1"/>
      <c r="J44" s="1" t="s">
        <v>15</v>
      </c>
      <c r="M44" s="38"/>
    </row>
    <row r="45">
      <c r="A45" s="1" t="s">
        <v>505</v>
      </c>
      <c r="B45" s="1">
        <v>22.0</v>
      </c>
      <c r="C45" s="1">
        <v>4.0</v>
      </c>
      <c r="D45" s="1" t="s">
        <v>96</v>
      </c>
      <c r="E45" s="1" t="s">
        <v>133</v>
      </c>
      <c r="G45" s="1"/>
      <c r="J45" s="1" t="s">
        <v>39</v>
      </c>
      <c r="M45" s="38"/>
    </row>
    <row r="46">
      <c r="A46" s="1" t="s">
        <v>718</v>
      </c>
      <c r="B46" s="1">
        <v>20.0</v>
      </c>
      <c r="C46" s="1">
        <v>100.2</v>
      </c>
      <c r="D46" s="1" t="s">
        <v>96</v>
      </c>
      <c r="E46" s="1" t="s">
        <v>133</v>
      </c>
      <c r="G46" s="1"/>
      <c r="J46" s="1" t="s">
        <v>28</v>
      </c>
      <c r="M46" s="38"/>
    </row>
    <row r="47">
      <c r="A47" s="1" t="s">
        <v>505</v>
      </c>
      <c r="B47" s="1">
        <v>20.0</v>
      </c>
      <c r="C47" s="1">
        <v>9.0</v>
      </c>
      <c r="D47" s="1" t="s">
        <v>96</v>
      </c>
      <c r="E47" s="1" t="s">
        <v>133</v>
      </c>
      <c r="G47" s="1"/>
      <c r="J47" s="1" t="s">
        <v>39</v>
      </c>
      <c r="M47" s="38"/>
    </row>
    <row r="48">
      <c r="A48" s="1" t="s">
        <v>501</v>
      </c>
      <c r="B48" s="1">
        <v>19.0</v>
      </c>
      <c r="C48" s="1">
        <v>207.98</v>
      </c>
      <c r="D48" s="1" t="s">
        <v>96</v>
      </c>
      <c r="E48" s="1" t="s">
        <v>133</v>
      </c>
      <c r="G48" s="1"/>
      <c r="J48" s="1" t="s">
        <v>29</v>
      </c>
      <c r="M48" s="38"/>
    </row>
    <row r="49">
      <c r="A49" s="1" t="s">
        <v>682</v>
      </c>
      <c r="B49" s="1">
        <v>19.0</v>
      </c>
      <c r="C49" s="1">
        <v>52.38</v>
      </c>
      <c r="D49" s="1" t="s">
        <v>96</v>
      </c>
      <c r="E49" s="1" t="s">
        <v>133</v>
      </c>
      <c r="G49" s="1"/>
      <c r="J49" s="1" t="s">
        <v>18</v>
      </c>
      <c r="M49" s="38"/>
    </row>
    <row r="50">
      <c r="A50" s="1" t="s">
        <v>500</v>
      </c>
      <c r="B50" s="1">
        <v>18.0</v>
      </c>
      <c r="C50" s="1">
        <v>4.0</v>
      </c>
      <c r="D50" s="1" t="s">
        <v>96</v>
      </c>
      <c r="E50" s="1" t="s">
        <v>133</v>
      </c>
      <c r="G50" s="1"/>
      <c r="J50" s="1" t="s">
        <v>39</v>
      </c>
      <c r="M50" s="38"/>
    </row>
    <row r="51">
      <c r="A51" s="1" t="s">
        <v>719</v>
      </c>
      <c r="B51" s="1">
        <v>17.0</v>
      </c>
      <c r="C51" s="1">
        <v>777.64</v>
      </c>
      <c r="D51" s="1" t="s">
        <v>96</v>
      </c>
      <c r="E51" s="1" t="s">
        <v>133</v>
      </c>
      <c r="G51" s="1"/>
      <c r="J51" s="1" t="s">
        <v>46</v>
      </c>
      <c r="M51" s="38"/>
    </row>
    <row r="52">
      <c r="A52" s="1" t="s">
        <v>720</v>
      </c>
      <c r="B52" s="1">
        <v>17.0</v>
      </c>
      <c r="C52" s="1">
        <v>230.0</v>
      </c>
      <c r="D52" s="1" t="s">
        <v>96</v>
      </c>
      <c r="E52" s="1" t="s">
        <v>133</v>
      </c>
      <c r="G52" s="1"/>
      <c r="J52" s="1" t="s">
        <v>28</v>
      </c>
      <c r="M52" s="38"/>
    </row>
    <row r="53">
      <c r="A53" s="1" t="s">
        <v>721</v>
      </c>
      <c r="B53" s="1">
        <v>16.0</v>
      </c>
      <c r="C53" s="1">
        <v>149.98</v>
      </c>
      <c r="D53" s="1" t="s">
        <v>96</v>
      </c>
      <c r="E53" s="1" t="s">
        <v>133</v>
      </c>
      <c r="G53" s="1"/>
      <c r="J53" s="1" t="s">
        <v>31</v>
      </c>
      <c r="M53" s="38"/>
    </row>
    <row r="54">
      <c r="A54" s="1" t="s">
        <v>722</v>
      </c>
      <c r="B54" s="1">
        <v>16.0</v>
      </c>
      <c r="C54" s="1">
        <v>69.9</v>
      </c>
      <c r="D54" s="1" t="s">
        <v>96</v>
      </c>
      <c r="E54" s="1" t="s">
        <v>133</v>
      </c>
      <c r="G54" s="1"/>
      <c r="J54" s="1" t="s">
        <v>33</v>
      </c>
      <c r="M54" s="38"/>
    </row>
    <row r="55">
      <c r="A55" s="1" t="s">
        <v>717</v>
      </c>
      <c r="B55" s="1">
        <v>16.0</v>
      </c>
      <c r="C55" s="1">
        <v>159.96</v>
      </c>
      <c r="D55" s="1" t="s">
        <v>96</v>
      </c>
      <c r="E55" s="1" t="s">
        <v>133</v>
      </c>
      <c r="G55" s="1"/>
      <c r="J55" s="1" t="s">
        <v>31</v>
      </c>
      <c r="M55" s="38"/>
    </row>
    <row r="56">
      <c r="A56" s="1" t="s">
        <v>580</v>
      </c>
      <c r="B56" s="1">
        <v>16.0</v>
      </c>
      <c r="C56" s="1">
        <v>53.95</v>
      </c>
      <c r="D56" s="1" t="s">
        <v>96</v>
      </c>
      <c r="E56" s="1" t="s">
        <v>133</v>
      </c>
      <c r="G56" s="1"/>
      <c r="J56" s="1" t="s">
        <v>15</v>
      </c>
      <c r="M56" s="38"/>
    </row>
    <row r="57">
      <c r="A57" s="1" t="s">
        <v>573</v>
      </c>
      <c r="B57" s="1">
        <v>15.0</v>
      </c>
      <c r="C57" s="1">
        <v>277.41</v>
      </c>
      <c r="D57" s="1" t="s">
        <v>96</v>
      </c>
      <c r="E57" s="1" t="s">
        <v>133</v>
      </c>
      <c r="G57" s="1"/>
      <c r="J57" s="1" t="s">
        <v>29</v>
      </c>
      <c r="M57" s="38"/>
    </row>
    <row r="58">
      <c r="A58" s="1" t="s">
        <v>575</v>
      </c>
      <c r="B58" s="1">
        <v>14.0</v>
      </c>
      <c r="C58" s="1">
        <v>63.45</v>
      </c>
      <c r="D58" s="1" t="s">
        <v>96</v>
      </c>
      <c r="E58" s="1" t="s">
        <v>133</v>
      </c>
      <c r="G58" s="1"/>
      <c r="J58" s="1" t="s">
        <v>18</v>
      </c>
      <c r="M58" s="38"/>
    </row>
    <row r="59">
      <c r="A59" s="1" t="s">
        <v>723</v>
      </c>
      <c r="B59" s="1">
        <v>13.0</v>
      </c>
      <c r="C59" s="1">
        <v>33.9</v>
      </c>
      <c r="D59" s="1" t="s">
        <v>96</v>
      </c>
      <c r="E59" s="1" t="s">
        <v>133</v>
      </c>
      <c r="G59" s="1"/>
      <c r="J59" s="1" t="s">
        <v>28</v>
      </c>
      <c r="M59" s="38"/>
    </row>
    <row r="60">
      <c r="A60" s="1" t="s">
        <v>505</v>
      </c>
      <c r="B60" s="1">
        <v>12.0</v>
      </c>
      <c r="C60" s="1">
        <v>3.0</v>
      </c>
      <c r="D60" s="1" t="s">
        <v>96</v>
      </c>
      <c r="E60" s="1" t="s">
        <v>133</v>
      </c>
      <c r="G60" s="1"/>
      <c r="J60" s="1" t="s">
        <v>39</v>
      </c>
      <c r="M60" s="38"/>
    </row>
    <row r="61">
      <c r="A61" s="1" t="s">
        <v>676</v>
      </c>
      <c r="B61" s="1">
        <v>11.0</v>
      </c>
      <c r="C61" s="1">
        <v>24.0</v>
      </c>
      <c r="D61" s="1" t="s">
        <v>96</v>
      </c>
      <c r="E61" s="1" t="s">
        <v>133</v>
      </c>
      <c r="G61" s="1"/>
      <c r="J61" s="1" t="s">
        <v>24</v>
      </c>
      <c r="M61" s="38"/>
    </row>
    <row r="62">
      <c r="A62" s="1" t="s">
        <v>587</v>
      </c>
      <c r="B62" s="1">
        <v>10.0</v>
      </c>
      <c r="C62" s="1">
        <v>36.56</v>
      </c>
      <c r="D62" s="1" t="s">
        <v>96</v>
      </c>
      <c r="E62" s="1" t="s">
        <v>133</v>
      </c>
      <c r="G62" s="1"/>
      <c r="J62" s="1" t="s">
        <v>24</v>
      </c>
      <c r="L62" s="42">
        <v>45323.0</v>
      </c>
      <c r="M62" s="36" t="s">
        <v>476</v>
      </c>
    </row>
    <row r="63">
      <c r="A63" s="1" t="s">
        <v>724</v>
      </c>
      <c r="B63" s="1">
        <v>9.0</v>
      </c>
      <c r="C63" s="1">
        <v>79.88</v>
      </c>
      <c r="D63" s="1" t="s">
        <v>96</v>
      </c>
      <c r="E63" s="1" t="s">
        <v>133</v>
      </c>
      <c r="G63" s="1"/>
      <c r="J63" s="1" t="s">
        <v>25</v>
      </c>
      <c r="M63" s="36" t="s">
        <v>476</v>
      </c>
    </row>
    <row r="64">
      <c r="A64" s="1" t="s">
        <v>725</v>
      </c>
      <c r="B64" s="1">
        <v>8.0</v>
      </c>
      <c r="C64" s="1">
        <v>78.5</v>
      </c>
      <c r="D64" s="1" t="s">
        <v>96</v>
      </c>
      <c r="E64" s="1" t="s">
        <v>133</v>
      </c>
      <c r="J64" s="1" t="s">
        <v>29</v>
      </c>
      <c r="M64" s="36" t="s">
        <v>476</v>
      </c>
    </row>
    <row r="65">
      <c r="A65" s="1" t="s">
        <v>725</v>
      </c>
      <c r="B65" s="1">
        <v>8.0</v>
      </c>
      <c r="C65" s="1">
        <v>12.38</v>
      </c>
      <c r="D65" s="1" t="s">
        <v>96</v>
      </c>
      <c r="E65" s="1" t="s">
        <v>133</v>
      </c>
      <c r="J65" s="1" t="s">
        <v>29</v>
      </c>
      <c r="M65" s="36" t="s">
        <v>476</v>
      </c>
    </row>
    <row r="66">
      <c r="A66" s="1" t="s">
        <v>581</v>
      </c>
      <c r="B66" s="1">
        <v>8.0</v>
      </c>
      <c r="C66" s="1">
        <v>68.8</v>
      </c>
      <c r="D66" s="1" t="s">
        <v>96</v>
      </c>
      <c r="E66" s="1" t="s">
        <v>133</v>
      </c>
      <c r="J66" s="1" t="s">
        <v>34</v>
      </c>
      <c r="M66" s="36" t="s">
        <v>476</v>
      </c>
    </row>
    <row r="67">
      <c r="A67" s="1" t="s">
        <v>500</v>
      </c>
      <c r="B67" s="1">
        <v>8.0</v>
      </c>
      <c r="C67" s="1">
        <v>4.0</v>
      </c>
      <c r="D67" s="1" t="s">
        <v>96</v>
      </c>
      <c r="E67" s="1" t="s">
        <v>133</v>
      </c>
      <c r="J67" s="1" t="s">
        <v>39</v>
      </c>
      <c r="M67" s="36" t="s">
        <v>476</v>
      </c>
    </row>
    <row r="68">
      <c r="A68" s="1" t="s">
        <v>726</v>
      </c>
      <c r="B68" s="1">
        <v>8.0</v>
      </c>
      <c r="C68" s="1">
        <v>10.0</v>
      </c>
      <c r="D68" s="1" t="s">
        <v>96</v>
      </c>
      <c r="E68" s="1" t="s">
        <v>133</v>
      </c>
      <c r="J68" s="1" t="s">
        <v>32</v>
      </c>
      <c r="M68" s="36" t="s">
        <v>476</v>
      </c>
    </row>
    <row r="69">
      <c r="A69" s="1" t="s">
        <v>727</v>
      </c>
      <c r="B69" s="1">
        <v>7.0</v>
      </c>
      <c r="C69" s="1">
        <v>40.0</v>
      </c>
      <c r="D69" s="1" t="s">
        <v>96</v>
      </c>
      <c r="E69" s="1" t="s">
        <v>133</v>
      </c>
      <c r="H69" s="1" t="s">
        <v>129</v>
      </c>
      <c r="I69" s="1" t="s">
        <v>129</v>
      </c>
      <c r="J69" s="1" t="s">
        <v>30</v>
      </c>
      <c r="K69" s="42">
        <v>44959.0</v>
      </c>
      <c r="M69" s="36" t="s">
        <v>476</v>
      </c>
    </row>
    <row r="70">
      <c r="A70" s="1" t="s">
        <v>598</v>
      </c>
      <c r="B70" s="1">
        <v>6.0</v>
      </c>
      <c r="C70" s="1">
        <v>40.0</v>
      </c>
      <c r="D70" s="1" t="s">
        <v>96</v>
      </c>
      <c r="E70" s="1" t="s">
        <v>133</v>
      </c>
      <c r="J70" s="1" t="s">
        <v>18</v>
      </c>
      <c r="M70" s="36" t="s">
        <v>476</v>
      </c>
    </row>
    <row r="71">
      <c r="A71" s="1" t="s">
        <v>505</v>
      </c>
      <c r="B71" s="1">
        <v>5.0</v>
      </c>
      <c r="C71" s="1">
        <v>4.0</v>
      </c>
      <c r="D71" s="1" t="s">
        <v>96</v>
      </c>
      <c r="E71" s="1" t="s">
        <v>133</v>
      </c>
      <c r="J71" s="1" t="s">
        <v>39</v>
      </c>
      <c r="M71" s="36" t="s">
        <v>476</v>
      </c>
    </row>
    <row r="72">
      <c r="A72" s="1" t="s">
        <v>500</v>
      </c>
      <c r="B72" s="1">
        <v>3.0</v>
      </c>
      <c r="C72" s="1">
        <v>4.0</v>
      </c>
      <c r="D72" s="1" t="s">
        <v>96</v>
      </c>
      <c r="E72" s="1" t="s">
        <v>133</v>
      </c>
      <c r="J72" s="1" t="s">
        <v>39</v>
      </c>
      <c r="M72" s="36" t="s">
        <v>476</v>
      </c>
    </row>
    <row r="73">
      <c r="A73" s="1" t="s">
        <v>718</v>
      </c>
      <c r="B73" s="1">
        <v>2.0</v>
      </c>
      <c r="C73" s="1">
        <v>286.9</v>
      </c>
      <c r="D73" s="1" t="s">
        <v>96</v>
      </c>
      <c r="E73" s="1" t="s">
        <v>133</v>
      </c>
      <c r="J73" s="1" t="s">
        <v>28</v>
      </c>
      <c r="M73" s="36" t="s">
        <v>476</v>
      </c>
    </row>
    <row r="74">
      <c r="A74" s="1" t="s">
        <v>728</v>
      </c>
      <c r="B74" s="1">
        <v>2.0</v>
      </c>
      <c r="C74" s="1">
        <v>23.1</v>
      </c>
      <c r="D74" s="1" t="s">
        <v>96</v>
      </c>
      <c r="E74" s="1" t="s">
        <v>133</v>
      </c>
      <c r="J74" s="1" t="s">
        <v>28</v>
      </c>
      <c r="M74" s="36" t="s">
        <v>476</v>
      </c>
    </row>
    <row r="75">
      <c r="A75" s="1" t="s">
        <v>714</v>
      </c>
      <c r="B75" s="1">
        <v>2.0</v>
      </c>
      <c r="C75" s="1">
        <v>23.0</v>
      </c>
      <c r="D75" s="1" t="s">
        <v>96</v>
      </c>
      <c r="E75" s="1" t="s">
        <v>133</v>
      </c>
      <c r="J75" s="1" t="s">
        <v>29</v>
      </c>
      <c r="M75" s="36" t="s">
        <v>476</v>
      </c>
    </row>
    <row r="76">
      <c r="A76" s="1" t="s">
        <v>729</v>
      </c>
      <c r="B76" s="1">
        <v>1.0</v>
      </c>
      <c r="C76" s="1">
        <v>35.0</v>
      </c>
      <c r="D76" s="1" t="s">
        <v>96</v>
      </c>
      <c r="E76" s="1" t="s">
        <v>133</v>
      </c>
      <c r="J76" s="1" t="s">
        <v>28</v>
      </c>
      <c r="M76" s="36" t="s">
        <v>476</v>
      </c>
    </row>
    <row r="77">
      <c r="A77" s="1" t="s">
        <v>579</v>
      </c>
      <c r="B77" s="1">
        <v>1.0</v>
      </c>
      <c r="C77" s="1">
        <v>155.39</v>
      </c>
      <c r="D77" s="1" t="s">
        <v>96</v>
      </c>
      <c r="E77" s="1" t="s">
        <v>133</v>
      </c>
      <c r="J77" s="1" t="s">
        <v>29</v>
      </c>
      <c r="M77" s="36" t="s">
        <v>476</v>
      </c>
    </row>
    <row r="78">
      <c r="A78" s="1" t="s">
        <v>505</v>
      </c>
      <c r="B78" s="1">
        <v>0.0</v>
      </c>
      <c r="C78" s="1">
        <v>4.0</v>
      </c>
      <c r="D78" s="1" t="s">
        <v>96</v>
      </c>
      <c r="E78" s="1" t="s">
        <v>133</v>
      </c>
      <c r="J78" s="1" t="s">
        <v>39</v>
      </c>
      <c r="M78" s="38"/>
    </row>
    <row r="79">
      <c r="A79" s="1" t="s">
        <v>730</v>
      </c>
      <c r="B79" s="1">
        <v>0.0</v>
      </c>
      <c r="C79" s="1">
        <v>7.0</v>
      </c>
      <c r="D79" s="1" t="s">
        <v>96</v>
      </c>
      <c r="E79" s="1" t="s">
        <v>133</v>
      </c>
      <c r="J79" s="1" t="s">
        <v>34</v>
      </c>
      <c r="M79" s="38"/>
    </row>
    <row r="80">
      <c r="A80" s="1" t="s">
        <v>682</v>
      </c>
      <c r="B80" s="1">
        <v>0.0</v>
      </c>
      <c r="C80" s="1">
        <v>64.86</v>
      </c>
      <c r="D80" s="1" t="s">
        <v>96</v>
      </c>
      <c r="E80" s="1" t="s">
        <v>133</v>
      </c>
      <c r="J80" s="1" t="s">
        <v>18</v>
      </c>
      <c r="M80" s="38"/>
    </row>
    <row r="81">
      <c r="A81" s="1" t="s">
        <v>501</v>
      </c>
      <c r="B81" s="1">
        <v>0.0</v>
      </c>
      <c r="C81" s="1">
        <v>45.94</v>
      </c>
      <c r="D81" s="1" t="s">
        <v>96</v>
      </c>
      <c r="E81" s="1" t="s">
        <v>133</v>
      </c>
      <c r="J81" s="1" t="s">
        <v>29</v>
      </c>
      <c r="M81" s="38"/>
    </row>
    <row r="82">
      <c r="A82" s="1" t="s">
        <v>591</v>
      </c>
      <c r="B82" s="1">
        <v>0.0</v>
      </c>
      <c r="C82" s="1">
        <v>60.0</v>
      </c>
      <c r="D82" s="1" t="s">
        <v>96</v>
      </c>
      <c r="E82" s="1" t="s">
        <v>133</v>
      </c>
      <c r="J82" s="1" t="s">
        <v>18</v>
      </c>
      <c r="M82" s="38"/>
    </row>
    <row r="83">
      <c r="A83" s="1" t="s">
        <v>718</v>
      </c>
      <c r="B83" s="1">
        <v>0.0</v>
      </c>
      <c r="C83" s="1">
        <v>44.9</v>
      </c>
      <c r="D83" s="1" t="s">
        <v>96</v>
      </c>
      <c r="E83" s="1" t="s">
        <v>133</v>
      </c>
      <c r="J83" s="1" t="s">
        <v>28</v>
      </c>
      <c r="M83" s="38"/>
    </row>
    <row r="84">
      <c r="A84" s="1" t="s">
        <v>504</v>
      </c>
      <c r="B84" s="1">
        <v>0.0</v>
      </c>
      <c r="C84" s="1">
        <v>93.58</v>
      </c>
      <c r="D84" s="1" t="s">
        <v>96</v>
      </c>
      <c r="E84" s="1" t="s">
        <v>133</v>
      </c>
      <c r="J84" s="1" t="s">
        <v>29</v>
      </c>
      <c r="M84" s="38"/>
    </row>
    <row r="85">
      <c r="A85" s="1" t="s">
        <v>584</v>
      </c>
      <c r="B85" s="1">
        <v>0.0</v>
      </c>
      <c r="C85" s="1">
        <v>144.7</v>
      </c>
      <c r="D85" s="1" t="s">
        <v>96</v>
      </c>
      <c r="E85" s="1" t="s">
        <v>133</v>
      </c>
      <c r="J85" s="1" t="s">
        <v>15</v>
      </c>
      <c r="M85" s="38"/>
    </row>
    <row r="86">
      <c r="A86" s="1" t="s">
        <v>576</v>
      </c>
      <c r="B86" s="1">
        <v>0.0</v>
      </c>
      <c r="C86" s="1">
        <v>8.11</v>
      </c>
      <c r="D86" s="1" t="s">
        <v>96</v>
      </c>
      <c r="E86" s="1" t="s">
        <v>133</v>
      </c>
      <c r="J86" s="1" t="s">
        <v>24</v>
      </c>
      <c r="M86" s="38"/>
    </row>
    <row r="87">
      <c r="A87" s="1" t="s">
        <v>676</v>
      </c>
      <c r="B87" s="1">
        <v>0.0</v>
      </c>
      <c r="C87" s="1">
        <v>15.0</v>
      </c>
      <c r="D87" s="1" t="s">
        <v>96</v>
      </c>
      <c r="E87" s="1" t="s">
        <v>133</v>
      </c>
      <c r="J87" s="1" t="s">
        <v>24</v>
      </c>
      <c r="M87" s="38"/>
    </row>
    <row r="88">
      <c r="A88" s="1" t="s">
        <v>500</v>
      </c>
      <c r="B88" s="1">
        <v>0.0</v>
      </c>
      <c r="C88" s="1">
        <v>4.0</v>
      </c>
      <c r="D88" s="1" t="s">
        <v>96</v>
      </c>
      <c r="E88" s="1" t="s">
        <v>133</v>
      </c>
      <c r="J88" s="1" t="s">
        <v>39</v>
      </c>
      <c r="M88" s="38"/>
    </row>
    <row r="89">
      <c r="A89" s="1" t="s">
        <v>731</v>
      </c>
      <c r="B89" s="1">
        <v>0.0</v>
      </c>
      <c r="C89" s="1">
        <v>119.69</v>
      </c>
      <c r="D89" s="1" t="s">
        <v>96</v>
      </c>
      <c r="E89" s="1" t="s">
        <v>133</v>
      </c>
      <c r="J89" s="1" t="s">
        <v>34</v>
      </c>
      <c r="M89" s="38"/>
    </row>
    <row r="90">
      <c r="A90" s="1" t="s">
        <v>732</v>
      </c>
      <c r="B90" s="1">
        <v>0.0</v>
      </c>
      <c r="C90" s="1">
        <v>26.5</v>
      </c>
      <c r="D90" s="1" t="s">
        <v>96</v>
      </c>
      <c r="E90" s="1" t="s">
        <v>133</v>
      </c>
      <c r="J90" s="1" t="s">
        <v>33</v>
      </c>
      <c r="M90" s="38"/>
    </row>
    <row r="91">
      <c r="A91" s="1" t="s">
        <v>500</v>
      </c>
      <c r="B91" s="1">
        <v>0.0</v>
      </c>
      <c r="C91" s="1">
        <v>4.0</v>
      </c>
      <c r="D91" s="1" t="s">
        <v>96</v>
      </c>
      <c r="E91" s="1" t="s">
        <v>133</v>
      </c>
      <c r="J91" s="1" t="s">
        <v>39</v>
      </c>
      <c r="M91" s="38"/>
    </row>
    <row r="92">
      <c r="A92" s="1" t="s">
        <v>733</v>
      </c>
      <c r="B92" s="1">
        <v>0.0</v>
      </c>
      <c r="C92" s="1">
        <v>328.55</v>
      </c>
      <c r="D92" s="1" t="s">
        <v>96</v>
      </c>
      <c r="E92" s="1" t="s">
        <v>133</v>
      </c>
      <c r="J92" s="1" t="s">
        <v>48</v>
      </c>
      <c r="M92" s="38"/>
    </row>
    <row r="93">
      <c r="A93" s="1" t="s">
        <v>602</v>
      </c>
      <c r="B93" s="1">
        <v>12.0</v>
      </c>
      <c r="C93" s="1">
        <v>60.0</v>
      </c>
      <c r="D93" s="1" t="s">
        <v>96</v>
      </c>
      <c r="E93" s="1" t="s">
        <v>603</v>
      </c>
      <c r="J93" s="1" t="s">
        <v>34</v>
      </c>
      <c r="M93" s="38"/>
    </row>
    <row r="94">
      <c r="A94" s="1" t="s">
        <v>702</v>
      </c>
      <c r="B94" s="1">
        <v>28.0</v>
      </c>
      <c r="C94" s="1">
        <v>179.0</v>
      </c>
      <c r="D94" s="1" t="s">
        <v>96</v>
      </c>
      <c r="E94" s="1" t="s">
        <v>117</v>
      </c>
      <c r="J94" s="1" t="s">
        <v>32</v>
      </c>
      <c r="M94" s="38"/>
    </row>
    <row r="95">
      <c r="A95" s="1" t="s">
        <v>734</v>
      </c>
      <c r="B95" s="1">
        <v>23.0</v>
      </c>
      <c r="C95" s="1">
        <v>246.99</v>
      </c>
      <c r="D95" s="1" t="s">
        <v>96</v>
      </c>
      <c r="E95" s="1" t="s">
        <v>117</v>
      </c>
      <c r="J95" s="1" t="s">
        <v>28</v>
      </c>
      <c r="M95" s="38"/>
    </row>
    <row r="96">
      <c r="A96" s="1" t="s">
        <v>702</v>
      </c>
      <c r="B96" s="1">
        <v>20.0</v>
      </c>
      <c r="C96" s="1">
        <v>51.93</v>
      </c>
      <c r="D96" s="1" t="s">
        <v>96</v>
      </c>
      <c r="E96" s="1" t="s">
        <v>117</v>
      </c>
      <c r="J96" s="1" t="s">
        <v>32</v>
      </c>
      <c r="M96" s="38"/>
    </row>
    <row r="97">
      <c r="A97" s="1" t="s">
        <v>185</v>
      </c>
      <c r="B97" s="1">
        <v>17.0</v>
      </c>
      <c r="C97" s="1">
        <v>675.23</v>
      </c>
      <c r="D97" s="1" t="s">
        <v>96</v>
      </c>
      <c r="E97" s="1" t="s">
        <v>117</v>
      </c>
      <c r="J97" s="1" t="s">
        <v>28</v>
      </c>
      <c r="M97" s="38"/>
    </row>
    <row r="98">
      <c r="A98" s="1" t="s">
        <v>735</v>
      </c>
      <c r="B98" s="1">
        <v>6.0</v>
      </c>
      <c r="C98" s="1">
        <v>93.0</v>
      </c>
      <c r="D98" s="1" t="s">
        <v>96</v>
      </c>
      <c r="E98" s="1" t="s">
        <v>117</v>
      </c>
      <c r="J98" s="1" t="s">
        <v>32</v>
      </c>
      <c r="M98" s="38"/>
    </row>
    <row r="99">
      <c r="A99" s="1" t="s">
        <v>736</v>
      </c>
      <c r="B99" s="1">
        <v>19.0</v>
      </c>
      <c r="C99" s="1">
        <v>2445.98</v>
      </c>
      <c r="D99" s="1" t="s">
        <v>737</v>
      </c>
      <c r="E99" s="1" t="s">
        <v>604</v>
      </c>
      <c r="J99" s="1" t="s">
        <v>27</v>
      </c>
      <c r="M99" s="38"/>
    </row>
    <row r="100">
      <c r="A100" s="1"/>
      <c r="J100" s="14"/>
      <c r="M100" s="38"/>
    </row>
    <row r="101">
      <c r="A101" s="1" t="s">
        <v>236</v>
      </c>
      <c r="C101" s="1">
        <f>9634*0.3-(633.9)</f>
        <v>2256.3</v>
      </c>
      <c r="M101" s="38"/>
    </row>
    <row r="102">
      <c r="A102" s="1" t="s">
        <v>50</v>
      </c>
      <c r="C102" s="8">
        <f>SUM(C2:C98)</f>
        <v>10427.69</v>
      </c>
      <c r="D102" s="8">
        <f>(9167.28)-C102-C101</f>
        <v>-3516.71</v>
      </c>
      <c r="M102" s="38"/>
    </row>
    <row r="103">
      <c r="M103" s="38"/>
    </row>
    <row r="104"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8"/>
    </row>
    <row r="133">
      <c r="M133" s="36" t="s">
        <v>240</v>
      </c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B155" s="8">
        <f>9167.28-B151</f>
        <v>7991.76</v>
      </c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</sheetData>
  <autoFilter ref="$A$1:$BV$18">
    <filterColumn colId="9">
      <filters>
        <filter val="seguro"/>
        <filter val="cursos"/>
        <filter val="streaming"/>
        <filter val="escola/faculdade"/>
        <filter val="academia"/>
        <filter val="Internet movel"/>
        <filter val="manutenção domiciliar"/>
        <filter val="dentista"/>
        <filter val="Internet"/>
        <filter val="Energia"/>
        <filter val="contabilidade"/>
      </filters>
    </filterColumn>
    <sortState ref="A1:BV18">
      <sortCondition ref="J1:J18"/>
    </sortState>
  </autoFilter>
  <conditionalFormatting sqref="B155">
    <cfRule type="cellIs" dxfId="1" priority="1" operator="greaterThanOrEqual">
      <formula>0</formula>
    </cfRule>
  </conditionalFormatting>
  <conditionalFormatting sqref="B155">
    <cfRule type="cellIs" dxfId="2" priority="2" operator="lessThan">
      <formula>0</formula>
    </cfRule>
  </conditionalFormatting>
  <dataValidations>
    <dataValidation type="list" allowBlank="1" showErrorMessage="1" sqref="J2:J100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veicular,ferias,projetos,dentista,painel solar,reforma casa,pix aline"</formula1>
    </dataValidation>
  </dataValidation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695.0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795.22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2" t="s">
        <v>106</v>
      </c>
      <c r="B5" s="2">
        <v>14.0</v>
      </c>
      <c r="C5" s="40">
        <v>521.44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129.0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19.95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0.0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100.46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44.9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85.9+129.9</f>
        <v>215.8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65.0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614</v>
      </c>
      <c r="B23" s="1">
        <v>5.0</v>
      </c>
      <c r="C23" s="1">
        <v>63.5</v>
      </c>
      <c r="D23" s="1" t="s">
        <v>96</v>
      </c>
      <c r="E23" s="1" t="s">
        <v>117</v>
      </c>
      <c r="J23" s="1" t="s">
        <v>15</v>
      </c>
      <c r="M23" s="38"/>
      <c r="N23" s="42">
        <v>45324.0</v>
      </c>
    </row>
    <row r="24">
      <c r="A24" s="1" t="s">
        <v>233</v>
      </c>
      <c r="B24" s="1">
        <v>8.0</v>
      </c>
      <c r="C24" s="1">
        <v>379.52</v>
      </c>
      <c r="D24" s="1" t="s">
        <v>96</v>
      </c>
      <c r="E24" s="1" t="s">
        <v>117</v>
      </c>
      <c r="G24" s="1"/>
      <c r="J24" s="1" t="s">
        <v>28</v>
      </c>
      <c r="M24" s="38"/>
    </row>
    <row r="25">
      <c r="A25" s="1" t="s">
        <v>615</v>
      </c>
      <c r="B25" s="1">
        <v>0.0</v>
      </c>
      <c r="C25" s="1">
        <v>61.29</v>
      </c>
      <c r="D25" s="1" t="s">
        <v>96</v>
      </c>
      <c r="E25" s="1" t="s">
        <v>105</v>
      </c>
      <c r="G25" s="1"/>
      <c r="J25" s="1" t="s">
        <v>15</v>
      </c>
      <c r="M25" s="38"/>
      <c r="N25" s="42">
        <v>45354.0</v>
      </c>
    </row>
    <row r="26">
      <c r="A26" s="1" t="s">
        <v>616</v>
      </c>
      <c r="B26" s="1">
        <v>0.0</v>
      </c>
      <c r="C26" s="1">
        <v>32.0</v>
      </c>
      <c r="D26" s="1" t="s">
        <v>96</v>
      </c>
      <c r="E26" s="1" t="s">
        <v>105</v>
      </c>
      <c r="G26" s="1"/>
      <c r="J26" s="1" t="s">
        <v>29</v>
      </c>
      <c r="M26" s="38"/>
    </row>
    <row r="27">
      <c r="A27" s="1" t="s">
        <v>617</v>
      </c>
      <c r="B27" s="1">
        <v>0.0</v>
      </c>
      <c r="C27" s="1">
        <v>163.94</v>
      </c>
      <c r="D27" s="1" t="s">
        <v>96</v>
      </c>
      <c r="E27" s="1" t="s">
        <v>105</v>
      </c>
      <c r="G27" s="1"/>
      <c r="J27" s="1" t="s">
        <v>29</v>
      </c>
      <c r="M27" s="38"/>
    </row>
    <row r="28">
      <c r="A28" s="1" t="s">
        <v>618</v>
      </c>
      <c r="B28" s="1">
        <v>0.0</v>
      </c>
      <c r="C28" s="1">
        <v>7.0</v>
      </c>
      <c r="D28" s="1" t="s">
        <v>96</v>
      </c>
      <c r="E28" s="1" t="s">
        <v>133</v>
      </c>
      <c r="G28" s="1"/>
      <c r="J28" s="1" t="s">
        <v>39</v>
      </c>
      <c r="M28" s="38"/>
    </row>
    <row r="29">
      <c r="A29" s="1" t="s">
        <v>619</v>
      </c>
      <c r="B29" s="1">
        <v>0.0</v>
      </c>
      <c r="C29" s="1">
        <v>24.0</v>
      </c>
      <c r="D29" s="1" t="s">
        <v>96</v>
      </c>
      <c r="E29" s="1" t="s">
        <v>133</v>
      </c>
      <c r="G29" s="1"/>
      <c r="J29" s="1" t="s">
        <v>32</v>
      </c>
      <c r="M29" s="38"/>
    </row>
    <row r="30">
      <c r="A30" s="1" t="s">
        <v>620</v>
      </c>
      <c r="B30" s="1">
        <v>0.0</v>
      </c>
      <c r="C30" s="1">
        <v>17.0</v>
      </c>
      <c r="D30" s="1" t="s">
        <v>96</v>
      </c>
      <c r="E30" s="1" t="s">
        <v>133</v>
      </c>
      <c r="G30" s="1"/>
      <c r="J30" s="1" t="s">
        <v>32</v>
      </c>
      <c r="M30" s="38"/>
    </row>
    <row r="31">
      <c r="A31" s="1" t="s">
        <v>621</v>
      </c>
      <c r="B31" s="1">
        <v>0.0</v>
      </c>
      <c r="C31" s="1">
        <v>54.9</v>
      </c>
      <c r="D31" s="1" t="s">
        <v>96</v>
      </c>
      <c r="E31" s="1" t="s">
        <v>133</v>
      </c>
      <c r="G31" s="1"/>
      <c r="J31" s="1" t="s">
        <v>34</v>
      </c>
      <c r="M31" s="38"/>
    </row>
    <row r="32">
      <c r="A32" s="1" t="s">
        <v>154</v>
      </c>
      <c r="B32" s="1">
        <v>2.0</v>
      </c>
      <c r="C32" s="1">
        <v>4.0</v>
      </c>
      <c r="D32" s="1" t="s">
        <v>96</v>
      </c>
      <c r="E32" s="1" t="s">
        <v>133</v>
      </c>
      <c r="G32" s="1"/>
      <c r="J32" s="1" t="s">
        <v>39</v>
      </c>
      <c r="M32" s="38"/>
    </row>
    <row r="33">
      <c r="A33" s="1" t="s">
        <v>622</v>
      </c>
      <c r="B33" s="1">
        <v>2.0</v>
      </c>
      <c r="C33" s="1">
        <v>50.0</v>
      </c>
      <c r="D33" s="1" t="s">
        <v>96</v>
      </c>
      <c r="E33" s="1" t="s">
        <v>133</v>
      </c>
      <c r="G33" s="1"/>
      <c r="J33" s="1" t="s">
        <v>18</v>
      </c>
      <c r="M33" s="38"/>
    </row>
    <row r="34">
      <c r="A34" s="1" t="s">
        <v>623</v>
      </c>
      <c r="B34" s="1">
        <v>2.0</v>
      </c>
      <c r="C34" s="1">
        <v>64.97</v>
      </c>
      <c r="D34" s="1" t="s">
        <v>96</v>
      </c>
      <c r="E34" s="1" t="s">
        <v>133</v>
      </c>
      <c r="G34" s="1"/>
      <c r="J34" s="1" t="s">
        <v>18</v>
      </c>
      <c r="M34" s="38"/>
    </row>
    <row r="35">
      <c r="A35" s="1" t="s">
        <v>624</v>
      </c>
      <c r="B35" s="1">
        <v>3.0</v>
      </c>
      <c r="C35" s="1">
        <v>116.0</v>
      </c>
      <c r="D35" s="1" t="s">
        <v>96</v>
      </c>
      <c r="E35" s="1" t="s">
        <v>133</v>
      </c>
      <c r="G35" s="1"/>
      <c r="J35" s="1" t="s">
        <v>42</v>
      </c>
      <c r="M35" s="38"/>
    </row>
    <row r="36">
      <c r="A36" s="1" t="s">
        <v>422</v>
      </c>
      <c r="B36" s="1">
        <v>3.0</v>
      </c>
      <c r="C36" s="1">
        <v>295.0</v>
      </c>
      <c r="D36" s="1" t="s">
        <v>96</v>
      </c>
      <c r="E36" s="1" t="s">
        <v>133</v>
      </c>
      <c r="G36" s="1"/>
      <c r="J36" s="1" t="s">
        <v>42</v>
      </c>
      <c r="M36" s="38"/>
    </row>
    <row r="37">
      <c r="A37" s="1" t="s">
        <v>39</v>
      </c>
      <c r="B37" s="1">
        <v>4.0</v>
      </c>
      <c r="C37" s="1">
        <v>8.0</v>
      </c>
      <c r="D37" s="1" t="s">
        <v>96</v>
      </c>
      <c r="E37" s="1" t="s">
        <v>133</v>
      </c>
      <c r="G37" s="1"/>
      <c r="J37" s="1" t="s">
        <v>39</v>
      </c>
      <c r="M37" s="36" t="s">
        <v>43</v>
      </c>
    </row>
    <row r="38">
      <c r="A38" s="1" t="s">
        <v>251</v>
      </c>
      <c r="B38" s="1">
        <v>4.0</v>
      </c>
      <c r="C38" s="1">
        <v>8.0</v>
      </c>
      <c r="D38" s="1" t="s">
        <v>96</v>
      </c>
      <c r="E38" s="1" t="s">
        <v>133</v>
      </c>
      <c r="G38" s="1"/>
      <c r="J38" s="1" t="s">
        <v>24</v>
      </c>
      <c r="M38" s="38"/>
    </row>
    <row r="39">
      <c r="A39" s="1" t="s">
        <v>625</v>
      </c>
      <c r="B39" s="1">
        <v>4.0</v>
      </c>
      <c r="C39" s="1">
        <v>1696.42</v>
      </c>
      <c r="D39" s="1" t="s">
        <v>96</v>
      </c>
      <c r="E39" s="1" t="s">
        <v>133</v>
      </c>
      <c r="G39" s="1"/>
      <c r="J39" s="1" t="s">
        <v>22</v>
      </c>
      <c r="M39" s="38"/>
    </row>
    <row r="40">
      <c r="A40" s="1" t="s">
        <v>626</v>
      </c>
      <c r="B40" s="1">
        <v>4.0</v>
      </c>
      <c r="C40" s="1">
        <v>74.3</v>
      </c>
      <c r="D40" s="1" t="s">
        <v>96</v>
      </c>
      <c r="E40" s="1" t="s">
        <v>133</v>
      </c>
      <c r="G40" s="1"/>
      <c r="J40" s="1" t="s">
        <v>21</v>
      </c>
      <c r="M40" s="38"/>
    </row>
    <row r="41">
      <c r="A41" s="1" t="s">
        <v>627</v>
      </c>
      <c r="B41" s="1">
        <v>5.0</v>
      </c>
      <c r="C41" s="1">
        <v>200.0</v>
      </c>
      <c r="D41" s="1" t="s">
        <v>96</v>
      </c>
      <c r="E41" s="1" t="s">
        <v>133</v>
      </c>
      <c r="G41" s="1"/>
      <c r="J41" s="1" t="s">
        <v>28</v>
      </c>
      <c r="L41" s="42"/>
      <c r="M41" s="38"/>
    </row>
    <row r="42">
      <c r="A42" s="1" t="s">
        <v>616</v>
      </c>
      <c r="B42" s="1">
        <v>5.0</v>
      </c>
      <c r="C42" s="1">
        <v>32.0</v>
      </c>
      <c r="D42" s="1" t="s">
        <v>96</v>
      </c>
      <c r="E42" s="1" t="s">
        <v>133</v>
      </c>
      <c r="G42" s="1"/>
      <c r="J42" s="1" t="s">
        <v>29</v>
      </c>
      <c r="M42" s="38"/>
    </row>
    <row r="43">
      <c r="A43" s="1" t="s">
        <v>621</v>
      </c>
      <c r="B43" s="1">
        <v>5.0</v>
      </c>
      <c r="C43" s="1">
        <v>50.0</v>
      </c>
      <c r="D43" s="1" t="s">
        <v>96</v>
      </c>
      <c r="E43" s="1" t="s">
        <v>133</v>
      </c>
      <c r="G43" s="1"/>
      <c r="J43" s="1" t="s">
        <v>34</v>
      </c>
      <c r="M43" s="38"/>
    </row>
    <row r="44">
      <c r="A44" s="1" t="s">
        <v>300</v>
      </c>
      <c r="B44" s="1">
        <v>5.0</v>
      </c>
      <c r="C44" s="1">
        <v>84.35</v>
      </c>
      <c r="D44" s="1" t="s">
        <v>96</v>
      </c>
      <c r="E44" s="1" t="s">
        <v>133</v>
      </c>
      <c r="G44" s="1"/>
      <c r="J44" s="1" t="s">
        <v>29</v>
      </c>
      <c r="M44" s="38"/>
    </row>
    <row r="45">
      <c r="A45" s="1" t="s">
        <v>516</v>
      </c>
      <c r="B45" s="1">
        <v>5.0</v>
      </c>
      <c r="C45" s="1">
        <v>24.1</v>
      </c>
      <c r="D45" s="1" t="s">
        <v>96</v>
      </c>
      <c r="E45" s="1" t="s">
        <v>133</v>
      </c>
      <c r="G45" s="1"/>
      <c r="J45" s="1" t="s">
        <v>25</v>
      </c>
      <c r="M45" s="38"/>
    </row>
    <row r="46">
      <c r="A46" s="1" t="s">
        <v>628</v>
      </c>
      <c r="B46" s="1">
        <v>5.0</v>
      </c>
      <c r="C46" s="1">
        <v>45.44</v>
      </c>
      <c r="D46" s="1" t="s">
        <v>96</v>
      </c>
      <c r="E46" s="1" t="s">
        <v>133</v>
      </c>
      <c r="G46" s="1"/>
      <c r="J46" s="1" t="s">
        <v>25</v>
      </c>
      <c r="M46" s="38"/>
    </row>
    <row r="47">
      <c r="A47" s="1" t="s">
        <v>629</v>
      </c>
      <c r="B47" s="1">
        <v>5.0</v>
      </c>
      <c r="C47" s="1">
        <v>5.0</v>
      </c>
      <c r="D47" s="1" t="s">
        <v>96</v>
      </c>
      <c r="E47" s="1" t="s">
        <v>133</v>
      </c>
      <c r="G47" s="1"/>
      <c r="J47" s="1" t="s">
        <v>20</v>
      </c>
      <c r="M47" s="38"/>
    </row>
    <row r="48">
      <c r="A48" s="1" t="s">
        <v>467</v>
      </c>
      <c r="B48" s="1">
        <v>5.0</v>
      </c>
      <c r="C48" s="1">
        <v>9.0</v>
      </c>
      <c r="D48" s="1" t="s">
        <v>96</v>
      </c>
      <c r="E48" s="1" t="s">
        <v>133</v>
      </c>
      <c r="G48" s="1"/>
      <c r="J48" s="1" t="s">
        <v>18</v>
      </c>
      <c r="M48" s="38"/>
    </row>
    <row r="49">
      <c r="A49" s="1" t="s">
        <v>630</v>
      </c>
      <c r="B49" s="1">
        <v>5.0</v>
      </c>
      <c r="C49" s="1">
        <v>230.0</v>
      </c>
      <c r="D49" s="1" t="s">
        <v>96</v>
      </c>
      <c r="E49" s="1" t="s">
        <v>133</v>
      </c>
      <c r="G49" s="1"/>
      <c r="J49" s="1" t="s">
        <v>28</v>
      </c>
      <c r="M49" s="38"/>
    </row>
    <row r="50">
      <c r="A50" s="1" t="s">
        <v>622</v>
      </c>
      <c r="B50" s="1">
        <v>5.0</v>
      </c>
      <c r="C50" s="1">
        <v>40.0</v>
      </c>
      <c r="D50" s="1" t="s">
        <v>96</v>
      </c>
      <c r="E50" s="1" t="s">
        <v>133</v>
      </c>
      <c r="G50" s="1"/>
      <c r="J50" s="1" t="s">
        <v>18</v>
      </c>
      <c r="M50" s="38"/>
    </row>
    <row r="51">
      <c r="A51" s="1" t="s">
        <v>618</v>
      </c>
      <c r="B51" s="1">
        <v>6.0</v>
      </c>
      <c r="C51" s="1">
        <v>8.0</v>
      </c>
      <c r="D51" s="1" t="s">
        <v>96</v>
      </c>
      <c r="E51" s="1" t="s">
        <v>133</v>
      </c>
      <c r="G51" s="1"/>
      <c r="J51" s="1" t="s">
        <v>39</v>
      </c>
      <c r="M51" s="38"/>
    </row>
    <row r="52">
      <c r="A52" s="1" t="s">
        <v>631</v>
      </c>
      <c r="B52" s="1">
        <v>7.0</v>
      </c>
      <c r="C52" s="1">
        <v>25.65</v>
      </c>
      <c r="D52" s="1" t="s">
        <v>96</v>
      </c>
      <c r="E52" s="1" t="s">
        <v>133</v>
      </c>
      <c r="G52" s="1"/>
      <c r="J52" s="1" t="s">
        <v>29</v>
      </c>
      <c r="M52" s="38"/>
    </row>
    <row r="53">
      <c r="A53" s="1" t="s">
        <v>632</v>
      </c>
      <c r="B53" s="1">
        <v>7.0</v>
      </c>
      <c r="C53" s="1">
        <v>52.71</v>
      </c>
      <c r="D53" s="1" t="s">
        <v>96</v>
      </c>
      <c r="E53" s="1" t="s">
        <v>133</v>
      </c>
      <c r="G53" s="1"/>
      <c r="J53" s="1" t="s">
        <v>18</v>
      </c>
      <c r="M53" s="38"/>
    </row>
    <row r="54">
      <c r="A54" s="1" t="s">
        <v>633</v>
      </c>
      <c r="B54" s="1">
        <v>7.0</v>
      </c>
      <c r="C54" s="1">
        <v>105.31</v>
      </c>
      <c r="D54" s="1" t="s">
        <v>96</v>
      </c>
      <c r="E54" s="1" t="s">
        <v>133</v>
      </c>
      <c r="G54" s="1"/>
      <c r="J54" s="1" t="s">
        <v>29</v>
      </c>
      <c r="M54" s="38"/>
    </row>
    <row r="55">
      <c r="A55" s="1" t="s">
        <v>630</v>
      </c>
      <c r="B55" s="1">
        <v>7.0</v>
      </c>
      <c r="C55" s="1">
        <v>110.0</v>
      </c>
      <c r="D55" s="1" t="s">
        <v>96</v>
      </c>
      <c r="E55" s="1" t="s">
        <v>133</v>
      </c>
      <c r="G55" s="1"/>
      <c r="J55" s="1" t="s">
        <v>28</v>
      </c>
      <c r="M55" s="38"/>
    </row>
    <row r="56">
      <c r="A56" s="1" t="s">
        <v>634</v>
      </c>
      <c r="B56" s="1">
        <v>8.0</v>
      </c>
      <c r="C56" s="1">
        <v>23.0</v>
      </c>
      <c r="D56" s="1" t="s">
        <v>96</v>
      </c>
      <c r="E56" s="1" t="s">
        <v>133</v>
      </c>
      <c r="G56" s="1"/>
      <c r="J56" s="1" t="s">
        <v>24</v>
      </c>
      <c r="M56" s="38"/>
    </row>
    <row r="57">
      <c r="A57" s="1" t="s">
        <v>635</v>
      </c>
      <c r="B57" s="1">
        <v>9.0</v>
      </c>
      <c r="C57" s="1">
        <v>99.0</v>
      </c>
      <c r="D57" s="1" t="s">
        <v>96</v>
      </c>
      <c r="E57" s="1" t="s">
        <v>133</v>
      </c>
      <c r="G57" s="1"/>
      <c r="J57" s="1" t="s">
        <v>29</v>
      </c>
      <c r="M57" s="38"/>
    </row>
    <row r="58">
      <c r="A58" s="1" t="s">
        <v>616</v>
      </c>
      <c r="B58" s="1">
        <v>10.0</v>
      </c>
      <c r="C58" s="1">
        <v>16.0</v>
      </c>
      <c r="D58" s="1" t="s">
        <v>96</v>
      </c>
      <c r="E58" s="1" t="s">
        <v>133</v>
      </c>
      <c r="G58" s="1"/>
      <c r="J58" s="1" t="s">
        <v>29</v>
      </c>
      <c r="M58" s="38"/>
    </row>
    <row r="59">
      <c r="A59" s="1" t="s">
        <v>516</v>
      </c>
      <c r="B59" s="1">
        <v>14.0</v>
      </c>
      <c r="C59" s="1">
        <v>0.0</v>
      </c>
      <c r="D59" s="1" t="s">
        <v>96</v>
      </c>
      <c r="E59" s="1" t="s">
        <v>133</v>
      </c>
      <c r="G59" s="1"/>
      <c r="J59" s="1" t="s">
        <v>25</v>
      </c>
      <c r="M59" s="38"/>
    </row>
    <row r="60">
      <c r="A60" s="1" t="s">
        <v>263</v>
      </c>
      <c r="B60" s="1">
        <v>14.0</v>
      </c>
      <c r="C60" s="1">
        <v>0.0</v>
      </c>
      <c r="D60" s="1" t="s">
        <v>96</v>
      </c>
      <c r="E60" s="1" t="s">
        <v>133</v>
      </c>
      <c r="G60" s="1"/>
      <c r="J60" s="1" t="s">
        <v>28</v>
      </c>
      <c r="M60" s="38"/>
    </row>
    <row r="61">
      <c r="A61" s="1" t="s">
        <v>636</v>
      </c>
      <c r="B61" s="1">
        <v>15.0</v>
      </c>
      <c r="C61" s="1">
        <v>0.0</v>
      </c>
      <c r="D61" s="1" t="s">
        <v>96</v>
      </c>
      <c r="E61" s="1" t="s">
        <v>133</v>
      </c>
      <c r="G61" s="1"/>
      <c r="J61" s="1" t="s">
        <v>41</v>
      </c>
      <c r="M61" s="38"/>
    </row>
    <row r="62">
      <c r="A62" s="1" t="s">
        <v>636</v>
      </c>
      <c r="B62" s="1">
        <v>15.0</v>
      </c>
      <c r="C62" s="1">
        <v>0.0</v>
      </c>
      <c r="D62" s="1" t="s">
        <v>96</v>
      </c>
      <c r="E62" s="1" t="s">
        <v>133</v>
      </c>
      <c r="G62" s="1"/>
      <c r="J62" s="1" t="s">
        <v>41</v>
      </c>
      <c r="M62" s="38"/>
    </row>
    <row r="63">
      <c r="A63" s="1" t="s">
        <v>621</v>
      </c>
      <c r="B63" s="1">
        <v>15.0</v>
      </c>
      <c r="C63" s="1">
        <v>0.0</v>
      </c>
      <c r="D63" s="1" t="s">
        <v>96</v>
      </c>
      <c r="E63" s="1" t="s">
        <v>133</v>
      </c>
      <c r="G63" s="1"/>
      <c r="J63" s="1" t="s">
        <v>34</v>
      </c>
      <c r="M63" s="36" t="s">
        <v>476</v>
      </c>
    </row>
    <row r="64">
      <c r="A64" s="1" t="s">
        <v>637</v>
      </c>
      <c r="B64" s="1">
        <v>15.0</v>
      </c>
      <c r="C64" s="1">
        <v>0.0</v>
      </c>
      <c r="D64" s="1" t="s">
        <v>96</v>
      </c>
      <c r="E64" s="1" t="s">
        <v>133</v>
      </c>
      <c r="G64" s="1"/>
      <c r="J64" s="1" t="s">
        <v>31</v>
      </c>
      <c r="L64" s="42">
        <v>45323.0</v>
      </c>
      <c r="M64" s="36" t="s">
        <v>476</v>
      </c>
    </row>
    <row r="65">
      <c r="A65" s="1" t="s">
        <v>560</v>
      </c>
      <c r="B65" s="1">
        <v>16.0</v>
      </c>
      <c r="C65" s="1">
        <v>0.0</v>
      </c>
      <c r="D65" s="1" t="s">
        <v>96</v>
      </c>
      <c r="E65" s="1" t="s">
        <v>133</v>
      </c>
      <c r="G65" s="1"/>
      <c r="J65" s="1" t="s">
        <v>34</v>
      </c>
      <c r="M65" s="36" t="s">
        <v>476</v>
      </c>
    </row>
    <row r="66">
      <c r="A66" s="1" t="s">
        <v>154</v>
      </c>
      <c r="B66" s="1">
        <v>16.0</v>
      </c>
      <c r="C66" s="1">
        <v>0.0</v>
      </c>
      <c r="D66" s="1" t="s">
        <v>96</v>
      </c>
      <c r="E66" s="1" t="s">
        <v>133</v>
      </c>
      <c r="J66" s="1" t="s">
        <v>39</v>
      </c>
      <c r="M66" s="36" t="s">
        <v>476</v>
      </c>
    </row>
    <row r="67">
      <c r="A67" s="1" t="s">
        <v>392</v>
      </c>
      <c r="B67" s="1">
        <v>16.0</v>
      </c>
      <c r="C67" s="1">
        <v>0.0</v>
      </c>
      <c r="D67" s="1" t="s">
        <v>96</v>
      </c>
      <c r="E67" s="1" t="s">
        <v>133</v>
      </c>
      <c r="J67" s="1" t="s">
        <v>24</v>
      </c>
      <c r="M67" s="36" t="s">
        <v>476</v>
      </c>
    </row>
    <row r="68">
      <c r="A68" s="1" t="s">
        <v>638</v>
      </c>
      <c r="B68" s="1">
        <v>17.0</v>
      </c>
      <c r="C68" s="1">
        <v>0.0</v>
      </c>
      <c r="D68" s="1" t="s">
        <v>96</v>
      </c>
      <c r="E68" s="1" t="s">
        <v>117</v>
      </c>
      <c r="J68" s="1" t="s">
        <v>34</v>
      </c>
      <c r="M68" s="36" t="s">
        <v>476</v>
      </c>
    </row>
    <row r="69">
      <c r="A69" s="1" t="s">
        <v>639</v>
      </c>
      <c r="B69" s="1">
        <v>17.0</v>
      </c>
      <c r="C69" s="1">
        <v>0.0</v>
      </c>
      <c r="D69" s="1" t="s">
        <v>96</v>
      </c>
      <c r="E69" s="1" t="s">
        <v>133</v>
      </c>
      <c r="J69" s="1" t="s">
        <v>29</v>
      </c>
      <c r="M69" s="36" t="s">
        <v>476</v>
      </c>
    </row>
    <row r="70">
      <c r="A70" s="1" t="s">
        <v>640</v>
      </c>
      <c r="B70" s="1">
        <v>17.0</v>
      </c>
      <c r="C70" s="1">
        <v>0.0</v>
      </c>
      <c r="D70" s="1" t="s">
        <v>96</v>
      </c>
      <c r="E70" s="1" t="s">
        <v>133</v>
      </c>
      <c r="J70" s="1" t="s">
        <v>29</v>
      </c>
      <c r="M70" s="36" t="s">
        <v>476</v>
      </c>
    </row>
    <row r="71">
      <c r="A71" s="1" t="s">
        <v>641</v>
      </c>
      <c r="B71" s="1">
        <v>17.0</v>
      </c>
      <c r="C71" s="1">
        <v>0.0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34</v>
      </c>
      <c r="K71" s="42">
        <v>44959.0</v>
      </c>
      <c r="M71" s="36" t="s">
        <v>476</v>
      </c>
    </row>
    <row r="72">
      <c r="A72" s="1" t="s">
        <v>642</v>
      </c>
      <c r="B72" s="1">
        <v>17.0</v>
      </c>
      <c r="C72" s="1">
        <v>0.0</v>
      </c>
      <c r="D72" s="1" t="s">
        <v>96</v>
      </c>
      <c r="E72" s="1" t="s">
        <v>133</v>
      </c>
      <c r="J72" s="1" t="s">
        <v>29</v>
      </c>
      <c r="M72" s="36" t="s">
        <v>476</v>
      </c>
    </row>
    <row r="73">
      <c r="A73" s="1" t="s">
        <v>643</v>
      </c>
      <c r="B73" s="1">
        <v>18.0</v>
      </c>
      <c r="C73" s="1">
        <v>0.0</v>
      </c>
      <c r="D73" s="1" t="s">
        <v>96</v>
      </c>
      <c r="E73" s="1" t="s">
        <v>133</v>
      </c>
      <c r="J73" s="1" t="s">
        <v>18</v>
      </c>
      <c r="M73" s="36" t="s">
        <v>476</v>
      </c>
    </row>
    <row r="74">
      <c r="A74" s="1" t="s">
        <v>392</v>
      </c>
      <c r="B74" s="1">
        <v>19.0</v>
      </c>
      <c r="C74" s="1">
        <v>0.0</v>
      </c>
      <c r="D74" s="1" t="s">
        <v>96</v>
      </c>
      <c r="E74" s="1" t="s">
        <v>133</v>
      </c>
      <c r="J74" s="1" t="s">
        <v>24</v>
      </c>
      <c r="M74" s="36" t="s">
        <v>476</v>
      </c>
    </row>
    <row r="75">
      <c r="A75" s="1" t="s">
        <v>519</v>
      </c>
      <c r="B75" s="1">
        <v>20.0</v>
      </c>
      <c r="C75" s="1">
        <v>0.0</v>
      </c>
      <c r="D75" s="1" t="s">
        <v>96</v>
      </c>
      <c r="E75" s="1" t="s">
        <v>133</v>
      </c>
      <c r="J75" s="1" t="s">
        <v>29</v>
      </c>
      <c r="M75" s="36" t="s">
        <v>476</v>
      </c>
    </row>
    <row r="76">
      <c r="A76" s="1" t="s">
        <v>644</v>
      </c>
      <c r="B76" s="1">
        <v>21.0</v>
      </c>
      <c r="C76" s="1">
        <v>0.0</v>
      </c>
      <c r="D76" s="1" t="s">
        <v>96</v>
      </c>
      <c r="E76" s="1" t="s">
        <v>133</v>
      </c>
      <c r="J76" s="1" t="s">
        <v>18</v>
      </c>
      <c r="M76" s="36" t="s">
        <v>476</v>
      </c>
    </row>
    <row r="77">
      <c r="A77" s="1" t="s">
        <v>516</v>
      </c>
      <c r="B77" s="1">
        <v>23.0</v>
      </c>
      <c r="C77" s="1">
        <v>0.0</v>
      </c>
      <c r="D77" s="1" t="s">
        <v>96</v>
      </c>
      <c r="E77" s="1" t="s">
        <v>133</v>
      </c>
      <c r="J77" s="1" t="s">
        <v>39</v>
      </c>
      <c r="M77" s="36" t="s">
        <v>476</v>
      </c>
    </row>
    <row r="78">
      <c r="A78" s="1" t="s">
        <v>645</v>
      </c>
      <c r="B78" s="1">
        <v>23.0</v>
      </c>
      <c r="C78" s="1">
        <v>0.0</v>
      </c>
      <c r="D78" s="1" t="s">
        <v>96</v>
      </c>
      <c r="E78" s="1" t="s">
        <v>133</v>
      </c>
      <c r="J78" s="1" t="s">
        <v>18</v>
      </c>
      <c r="M78" s="36" t="s">
        <v>476</v>
      </c>
    </row>
    <row r="79">
      <c r="A79" s="1" t="s">
        <v>646</v>
      </c>
      <c r="B79" s="1">
        <v>23.0</v>
      </c>
      <c r="C79" s="1">
        <v>0.0</v>
      </c>
      <c r="D79" s="1" t="s">
        <v>96</v>
      </c>
      <c r="E79" s="1" t="s">
        <v>133</v>
      </c>
      <c r="J79" s="1" t="s">
        <v>34</v>
      </c>
      <c r="M79" s="36" t="s">
        <v>476</v>
      </c>
    </row>
    <row r="80">
      <c r="A80" s="1" t="s">
        <v>647</v>
      </c>
      <c r="B80" s="1">
        <v>23.0</v>
      </c>
      <c r="C80" s="1">
        <v>0.0</v>
      </c>
      <c r="D80" s="1" t="s">
        <v>96</v>
      </c>
      <c r="E80" s="1" t="s">
        <v>133</v>
      </c>
      <c r="J80" s="1" t="s">
        <v>34</v>
      </c>
      <c r="M80" s="38"/>
    </row>
    <row r="81">
      <c r="A81" s="1" t="s">
        <v>648</v>
      </c>
      <c r="B81" s="1">
        <v>23.0</v>
      </c>
      <c r="C81" s="1">
        <v>0.0</v>
      </c>
      <c r="D81" s="1" t="s">
        <v>96</v>
      </c>
      <c r="E81" s="1" t="s">
        <v>133</v>
      </c>
      <c r="J81" s="1" t="s">
        <v>34</v>
      </c>
      <c r="M81" s="38"/>
    </row>
    <row r="82">
      <c r="A82" s="1" t="s">
        <v>648</v>
      </c>
      <c r="B82" s="1">
        <v>23.0</v>
      </c>
      <c r="C82" s="1">
        <v>0.0</v>
      </c>
      <c r="D82" s="1" t="s">
        <v>96</v>
      </c>
      <c r="E82" s="1" t="s">
        <v>133</v>
      </c>
      <c r="J82" s="1" t="s">
        <v>34</v>
      </c>
      <c r="M82" s="38"/>
    </row>
    <row r="83">
      <c r="A83" s="1" t="s">
        <v>647</v>
      </c>
      <c r="B83" s="1">
        <v>23.0</v>
      </c>
      <c r="C83" s="1">
        <v>0.0</v>
      </c>
      <c r="D83" s="1" t="s">
        <v>96</v>
      </c>
      <c r="E83" s="1" t="s">
        <v>133</v>
      </c>
      <c r="J83" s="1" t="s">
        <v>34</v>
      </c>
      <c r="M83" s="38"/>
    </row>
    <row r="84">
      <c r="A84" s="1" t="s">
        <v>519</v>
      </c>
      <c r="B84" s="1">
        <v>23.0</v>
      </c>
      <c r="C84" s="1">
        <v>0.0</v>
      </c>
      <c r="D84" s="1" t="s">
        <v>96</v>
      </c>
      <c r="E84" s="1" t="s">
        <v>133</v>
      </c>
      <c r="J84" s="1" t="s">
        <v>29</v>
      </c>
      <c r="M84" s="38"/>
    </row>
    <row r="85">
      <c r="A85" s="1" t="s">
        <v>154</v>
      </c>
      <c r="B85" s="1">
        <v>24.0</v>
      </c>
      <c r="C85" s="1">
        <v>0.0</v>
      </c>
      <c r="D85" s="1" t="s">
        <v>96</v>
      </c>
      <c r="E85" s="1" t="s">
        <v>133</v>
      </c>
      <c r="J85" s="1" t="s">
        <v>39</v>
      </c>
      <c r="M85" s="38"/>
    </row>
    <row r="86">
      <c r="A86" s="1" t="s">
        <v>467</v>
      </c>
      <c r="B86" s="1">
        <v>25.0</v>
      </c>
      <c r="C86" s="1">
        <v>0.0</v>
      </c>
      <c r="D86" s="1" t="s">
        <v>96</v>
      </c>
      <c r="E86" s="1" t="s">
        <v>133</v>
      </c>
      <c r="J86" s="1" t="s">
        <v>34</v>
      </c>
      <c r="M86" s="38"/>
    </row>
    <row r="87">
      <c r="A87" s="1" t="s">
        <v>649</v>
      </c>
      <c r="B87" s="1">
        <v>26.0</v>
      </c>
      <c r="C87" s="1">
        <v>0.0</v>
      </c>
      <c r="D87" s="1" t="s">
        <v>96</v>
      </c>
      <c r="E87" s="1" t="s">
        <v>133</v>
      </c>
      <c r="J87" s="1" t="s">
        <v>34</v>
      </c>
      <c r="M87" s="38"/>
    </row>
    <row r="88">
      <c r="A88" s="1" t="s">
        <v>372</v>
      </c>
      <c r="B88" s="1">
        <v>26.0</v>
      </c>
      <c r="C88" s="1">
        <v>0.0</v>
      </c>
      <c r="D88" s="1" t="s">
        <v>96</v>
      </c>
      <c r="E88" s="1" t="s">
        <v>133</v>
      </c>
      <c r="J88" s="1" t="s">
        <v>20</v>
      </c>
      <c r="M88" s="38"/>
    </row>
    <row r="89">
      <c r="A89" s="1" t="s">
        <v>392</v>
      </c>
      <c r="B89" s="1">
        <v>0.0</v>
      </c>
      <c r="C89" s="1">
        <v>0.0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650</v>
      </c>
      <c r="B90" s="1">
        <v>0.0</v>
      </c>
      <c r="C90" s="1">
        <v>0.0</v>
      </c>
      <c r="D90" s="1" t="s">
        <v>96</v>
      </c>
      <c r="E90" s="1" t="s">
        <v>156</v>
      </c>
      <c r="J90" s="1" t="s">
        <v>29</v>
      </c>
      <c r="M90" s="38"/>
    </row>
    <row r="91">
      <c r="A91" s="1" t="s">
        <v>651</v>
      </c>
      <c r="B91" s="1">
        <v>0.0</v>
      </c>
      <c r="C91" s="1">
        <v>0.0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652</v>
      </c>
      <c r="B92" s="1">
        <v>0.0</v>
      </c>
      <c r="C92" s="1">
        <v>0.0</v>
      </c>
      <c r="D92" s="1" t="s">
        <v>96</v>
      </c>
      <c r="E92" s="1" t="s">
        <v>156</v>
      </c>
      <c r="J92" s="1" t="s">
        <v>42</v>
      </c>
      <c r="M92" s="38"/>
    </row>
    <row r="93">
      <c r="A93" s="1" t="s">
        <v>653</v>
      </c>
      <c r="B93" s="1">
        <v>0.0</v>
      </c>
      <c r="C93" s="1">
        <v>0.0</v>
      </c>
      <c r="D93" s="1" t="s">
        <v>96</v>
      </c>
      <c r="E93" s="1" t="s">
        <v>156</v>
      </c>
      <c r="J93" s="1" t="s">
        <v>42</v>
      </c>
      <c r="M93" s="38"/>
    </row>
    <row r="94">
      <c r="A94" s="1" t="s">
        <v>654</v>
      </c>
      <c r="B94" s="1">
        <v>0.0</v>
      </c>
      <c r="C94" s="1">
        <v>0.0</v>
      </c>
      <c r="D94" s="1" t="s">
        <v>96</v>
      </c>
      <c r="E94" s="1" t="s">
        <v>156</v>
      </c>
      <c r="J94" s="1" t="s">
        <v>28</v>
      </c>
      <c r="M94" s="38"/>
    </row>
    <row r="95">
      <c r="A95" s="1" t="s">
        <v>655</v>
      </c>
      <c r="B95" s="1">
        <v>0.0</v>
      </c>
      <c r="C95" s="1">
        <v>0.0</v>
      </c>
      <c r="D95" s="1" t="s">
        <v>96</v>
      </c>
      <c r="E95" s="1" t="s">
        <v>156</v>
      </c>
      <c r="J95" s="1" t="s">
        <v>21</v>
      </c>
      <c r="M95" s="38"/>
    </row>
    <row r="96">
      <c r="A96" s="1" t="s">
        <v>656</v>
      </c>
      <c r="B96" s="1">
        <v>0.0</v>
      </c>
      <c r="C96" s="1">
        <v>0.0</v>
      </c>
      <c r="D96" s="1" t="s">
        <v>96</v>
      </c>
      <c r="E96" s="1" t="s">
        <v>156</v>
      </c>
      <c r="J96" s="1" t="s">
        <v>28</v>
      </c>
      <c r="M96" s="38"/>
    </row>
    <row r="97">
      <c r="A97" s="1" t="s">
        <v>300</v>
      </c>
      <c r="B97" s="1">
        <v>0.0</v>
      </c>
      <c r="C97" s="1">
        <v>0.0</v>
      </c>
      <c r="D97" s="1" t="s">
        <v>96</v>
      </c>
      <c r="E97" s="1" t="s">
        <v>133</v>
      </c>
      <c r="J97" s="1" t="s">
        <v>29</v>
      </c>
      <c r="M97" s="38"/>
    </row>
    <row r="98">
      <c r="A98" s="1" t="s">
        <v>254</v>
      </c>
      <c r="B98" s="1">
        <v>0.0</v>
      </c>
      <c r="C98" s="1">
        <v>0.0</v>
      </c>
      <c r="D98" s="1" t="s">
        <v>96</v>
      </c>
      <c r="E98" s="1" t="s">
        <v>133</v>
      </c>
      <c r="J98" s="1" t="s">
        <v>15</v>
      </c>
      <c r="M98" s="38"/>
    </row>
    <row r="99">
      <c r="A99" s="1" t="s">
        <v>657</v>
      </c>
      <c r="B99" s="1">
        <v>0.0</v>
      </c>
      <c r="C99" s="1">
        <v>0.0</v>
      </c>
      <c r="D99" s="1" t="s">
        <v>96</v>
      </c>
      <c r="E99" s="1" t="s">
        <v>133</v>
      </c>
      <c r="J99" s="1" t="s">
        <v>31</v>
      </c>
      <c r="M99" s="38"/>
    </row>
    <row r="100">
      <c r="A100" s="1" t="s">
        <v>658</v>
      </c>
      <c r="B100" s="1">
        <v>0.0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444</v>
      </c>
      <c r="B101" s="1">
        <v>0.0</v>
      </c>
      <c r="C101" s="1">
        <v>0.0</v>
      </c>
      <c r="D101" s="1" t="s">
        <v>96</v>
      </c>
      <c r="E101" s="1" t="s">
        <v>133</v>
      </c>
      <c r="J101" s="1" t="s">
        <v>31</v>
      </c>
      <c r="M101" s="38"/>
    </row>
    <row r="102">
      <c r="A102" s="1"/>
      <c r="J102" s="14"/>
      <c r="M102" s="38"/>
    </row>
    <row r="103">
      <c r="A103" s="1" t="s">
        <v>236</v>
      </c>
      <c r="C103" s="1">
        <f>9167.28*0.3-(633.9)-C39</f>
        <v>419.864</v>
      </c>
      <c r="M103" s="38"/>
    </row>
    <row r="104">
      <c r="A104" s="1" t="s">
        <v>50</v>
      </c>
      <c r="C104" s="8">
        <f>SUM(C2:C101)</f>
        <v>7670.66</v>
      </c>
      <c r="D104" s="8">
        <f>(9167.28)-C104-C103</f>
        <v>1076.756</v>
      </c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6" t="s">
        <v>240</v>
      </c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B149" s="8"/>
      <c r="M149" s="38"/>
    </row>
    <row r="150">
      <c r="B150" s="8"/>
      <c r="M150" s="38"/>
    </row>
    <row r="151">
      <c r="M151" s="38"/>
    </row>
    <row r="152">
      <c r="M152" s="38"/>
    </row>
    <row r="153">
      <c r="B153" s="8">
        <f>9167.28-B149</f>
        <v>9167.28</v>
      </c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</sheetData>
  <autoFilter ref="$A$1:$BV$17">
    <filterColumn colId="9">
      <filters>
        <filter val="seguro"/>
        <filter val="cursos"/>
        <filter val="streaming"/>
        <filter val="escola/faculdade"/>
        <filter val="academia"/>
        <filter val="Internet movel"/>
        <filter val="Internet"/>
        <filter val="Energia"/>
        <filter val="contabilidade"/>
      </filters>
    </filterColumn>
    <sortState ref="A1:BV17">
      <sortCondition ref="J1:J17"/>
    </sortState>
  </autoFilter>
  <conditionalFormatting sqref="B153">
    <cfRule type="cellIs" dxfId="1" priority="1" operator="greaterThanOrEqual">
      <formula>0</formula>
    </cfRule>
  </conditionalFormatting>
  <conditionalFormatting sqref="B153">
    <cfRule type="cellIs" dxfId="2" priority="2" operator="lessThan">
      <formula>0</formula>
    </cfRule>
  </conditionalFormatting>
  <dataValidations>
    <dataValidation type="list" allowBlank="1" showErrorMessage="1" sqref="J2:J102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veicular,ferias,projetos"</formula1>
    </dataValidation>
  </dataValidation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695.0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1113.31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2" t="s">
        <v>106</v>
      </c>
      <c r="B5" s="2">
        <v>14.0</v>
      </c>
      <c r="C5" s="40">
        <v>696.36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129.0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166.66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100.46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65.0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154</v>
      </c>
      <c r="B23" s="1">
        <v>0.0</v>
      </c>
      <c r="C23" s="1">
        <v>4.0</v>
      </c>
      <c r="D23" s="1" t="s">
        <v>96</v>
      </c>
      <c r="E23" s="1" t="s">
        <v>105</v>
      </c>
      <c r="J23" s="1" t="s">
        <v>39</v>
      </c>
      <c r="M23" s="38"/>
    </row>
    <row r="24">
      <c r="A24" s="1" t="s">
        <v>467</v>
      </c>
      <c r="B24" s="1">
        <v>0.0</v>
      </c>
      <c r="C24" s="1">
        <v>30.0</v>
      </c>
      <c r="D24" s="1" t="s">
        <v>96</v>
      </c>
      <c r="E24" s="1" t="s">
        <v>105</v>
      </c>
      <c r="G24" s="1"/>
      <c r="J24" s="1" t="s">
        <v>18</v>
      </c>
      <c r="M24" s="38"/>
    </row>
    <row r="25">
      <c r="A25" s="1" t="s">
        <v>738</v>
      </c>
      <c r="B25" s="1">
        <v>0.0</v>
      </c>
      <c r="C25" s="1">
        <v>169.7</v>
      </c>
      <c r="D25" s="1" t="s">
        <v>96</v>
      </c>
      <c r="E25" s="1" t="s">
        <v>105</v>
      </c>
      <c r="G25" s="1"/>
      <c r="J25" s="1" t="s">
        <v>31</v>
      </c>
      <c r="M25" s="38"/>
    </row>
    <row r="26">
      <c r="A26" s="1" t="s">
        <v>621</v>
      </c>
      <c r="B26" s="1">
        <v>0.0</v>
      </c>
      <c r="C26" s="1">
        <v>57.9</v>
      </c>
      <c r="D26" s="1" t="s">
        <v>96</v>
      </c>
      <c r="E26" s="1" t="s">
        <v>105</v>
      </c>
      <c r="G26" s="1"/>
      <c r="J26" s="1" t="s">
        <v>34</v>
      </c>
      <c r="M26" s="38"/>
    </row>
    <row r="27">
      <c r="A27" s="1" t="s">
        <v>154</v>
      </c>
      <c r="B27" s="1">
        <v>0.0</v>
      </c>
      <c r="C27" s="1">
        <v>4.0</v>
      </c>
      <c r="D27" s="1" t="s">
        <v>96</v>
      </c>
      <c r="E27" s="1" t="s">
        <v>105</v>
      </c>
      <c r="G27" s="1"/>
      <c r="J27" s="1" t="s">
        <v>39</v>
      </c>
      <c r="M27" s="38"/>
    </row>
    <row r="28">
      <c r="A28" s="1" t="s">
        <v>392</v>
      </c>
      <c r="B28" s="1">
        <v>0.0</v>
      </c>
      <c r="C28" s="1">
        <v>15.85</v>
      </c>
      <c r="D28" s="1" t="s">
        <v>96</v>
      </c>
      <c r="E28" s="1" t="s">
        <v>133</v>
      </c>
      <c r="G28" s="1"/>
      <c r="J28" s="1" t="s">
        <v>24</v>
      </c>
      <c r="M28" s="38"/>
    </row>
    <row r="29">
      <c r="A29" s="1" t="s">
        <v>154</v>
      </c>
      <c r="B29" s="1">
        <v>0.0</v>
      </c>
      <c r="C29" s="1">
        <v>4.0</v>
      </c>
      <c r="D29" s="1" t="s">
        <v>96</v>
      </c>
      <c r="E29" s="1" t="s">
        <v>133</v>
      </c>
      <c r="G29" s="1"/>
      <c r="J29" s="1" t="s">
        <v>39</v>
      </c>
      <c r="M29" s="38"/>
    </row>
    <row r="30">
      <c r="A30" s="1" t="s">
        <v>516</v>
      </c>
      <c r="B30" s="1">
        <v>0.0</v>
      </c>
      <c r="C30" s="1">
        <v>109.28</v>
      </c>
      <c r="D30" s="1" t="s">
        <v>96</v>
      </c>
      <c r="E30" s="1" t="s">
        <v>133</v>
      </c>
      <c r="G30" s="1"/>
      <c r="J30" s="1" t="s">
        <v>25</v>
      </c>
      <c r="M30" s="38"/>
    </row>
    <row r="31">
      <c r="A31" s="1" t="s">
        <v>209</v>
      </c>
      <c r="B31" s="1">
        <v>1.0</v>
      </c>
      <c r="C31" s="1">
        <v>18.6</v>
      </c>
      <c r="D31" s="1" t="s">
        <v>96</v>
      </c>
      <c r="E31" s="1" t="s">
        <v>133</v>
      </c>
      <c r="G31" s="1"/>
      <c r="J31" s="1" t="s">
        <v>24</v>
      </c>
      <c r="M31" s="38"/>
    </row>
    <row r="32">
      <c r="A32" s="1" t="s">
        <v>739</v>
      </c>
      <c r="B32" s="1">
        <v>1.0</v>
      </c>
      <c r="C32" s="1">
        <v>10.99</v>
      </c>
      <c r="D32" s="1" t="s">
        <v>96</v>
      </c>
      <c r="E32" s="1" t="s">
        <v>133</v>
      </c>
      <c r="G32" s="1"/>
      <c r="J32" s="1" t="s">
        <v>14</v>
      </c>
      <c r="M32" s="38"/>
    </row>
    <row r="33">
      <c r="A33" s="1" t="s">
        <v>740</v>
      </c>
      <c r="B33" s="1">
        <v>1.0</v>
      </c>
      <c r="C33" s="1">
        <v>20.0</v>
      </c>
      <c r="D33" s="1" t="s">
        <v>96</v>
      </c>
      <c r="E33" s="1" t="s">
        <v>133</v>
      </c>
      <c r="G33" s="1"/>
      <c r="J33" s="1" t="s">
        <v>32</v>
      </c>
      <c r="M33" s="38"/>
    </row>
    <row r="34">
      <c r="A34" s="1" t="s">
        <v>741</v>
      </c>
      <c r="B34" s="1">
        <v>1.0</v>
      </c>
      <c r="C34" s="1">
        <v>5.5</v>
      </c>
      <c r="D34" s="1" t="s">
        <v>96</v>
      </c>
      <c r="E34" s="1" t="s">
        <v>133</v>
      </c>
      <c r="G34" s="1"/>
      <c r="J34" s="1" t="s">
        <v>29</v>
      </c>
      <c r="M34" s="38"/>
    </row>
    <row r="35">
      <c r="A35" s="1" t="s">
        <v>742</v>
      </c>
      <c r="B35" s="1">
        <v>2.0</v>
      </c>
      <c r="C35" s="1">
        <v>28.27</v>
      </c>
      <c r="D35" s="1" t="s">
        <v>96</v>
      </c>
      <c r="E35" s="1" t="s">
        <v>133</v>
      </c>
      <c r="G35" s="1"/>
      <c r="J35" s="1" t="s">
        <v>24</v>
      </c>
      <c r="M35" s="38"/>
    </row>
    <row r="36">
      <c r="A36" s="1" t="s">
        <v>154</v>
      </c>
      <c r="B36" s="1">
        <v>2.0</v>
      </c>
      <c r="C36" s="1">
        <v>9.0</v>
      </c>
      <c r="D36" s="1" t="s">
        <v>96</v>
      </c>
      <c r="E36" s="1" t="s">
        <v>133</v>
      </c>
      <c r="G36" s="1"/>
      <c r="J36" s="1" t="s">
        <v>39</v>
      </c>
      <c r="M36" s="38"/>
    </row>
    <row r="37">
      <c r="A37" s="1" t="s">
        <v>743</v>
      </c>
      <c r="B37" s="1">
        <v>4.0</v>
      </c>
      <c r="C37" s="1">
        <v>-33.88</v>
      </c>
      <c r="D37" s="1" t="s">
        <v>96</v>
      </c>
      <c r="E37" s="1" t="s">
        <v>133</v>
      </c>
      <c r="G37" s="1"/>
      <c r="J37" s="1" t="s">
        <v>44</v>
      </c>
      <c r="M37" s="36" t="s">
        <v>43</v>
      </c>
    </row>
    <row r="38">
      <c r="A38" s="1" t="s">
        <v>154</v>
      </c>
      <c r="B38" s="1">
        <v>5.0</v>
      </c>
      <c r="C38" s="1">
        <v>4.0</v>
      </c>
      <c r="D38" s="1" t="s">
        <v>96</v>
      </c>
      <c r="E38" s="1" t="s">
        <v>133</v>
      </c>
      <c r="G38" s="1"/>
      <c r="J38" s="1" t="s">
        <v>39</v>
      </c>
      <c r="M38" s="38"/>
    </row>
    <row r="39">
      <c r="A39" s="1" t="s">
        <v>744</v>
      </c>
      <c r="B39" s="1">
        <v>5.0</v>
      </c>
      <c r="C39" s="1">
        <v>36.47</v>
      </c>
      <c r="D39" s="1" t="s">
        <v>96</v>
      </c>
      <c r="E39" s="1" t="s">
        <v>133</v>
      </c>
      <c r="G39" s="1"/>
      <c r="J39" s="1" t="s">
        <v>25</v>
      </c>
      <c r="M39" s="38"/>
    </row>
    <row r="40">
      <c r="A40" s="1" t="s">
        <v>745</v>
      </c>
      <c r="B40" s="1">
        <v>6.0</v>
      </c>
      <c r="C40" s="1">
        <v>5.24</v>
      </c>
      <c r="D40" s="1" t="s">
        <v>96</v>
      </c>
      <c r="E40" s="1" t="s">
        <v>133</v>
      </c>
      <c r="G40" s="1"/>
      <c r="J40" s="1" t="s">
        <v>29</v>
      </c>
      <c r="M40" s="38"/>
    </row>
    <row r="41">
      <c r="A41" s="1" t="s">
        <v>154</v>
      </c>
      <c r="B41" s="1">
        <v>7.0</v>
      </c>
      <c r="C41" s="1">
        <v>4.0</v>
      </c>
      <c r="D41" s="1" t="s">
        <v>96</v>
      </c>
      <c r="E41" s="1" t="s">
        <v>133</v>
      </c>
      <c r="G41" s="1"/>
      <c r="J41" s="1" t="s">
        <v>39</v>
      </c>
      <c r="L41" s="42">
        <v>45323.0</v>
      </c>
      <c r="M41" s="38"/>
    </row>
    <row r="42">
      <c r="A42" s="1" t="s">
        <v>746</v>
      </c>
      <c r="B42" s="1">
        <v>8.0</v>
      </c>
      <c r="C42" s="1">
        <v>53.0</v>
      </c>
      <c r="D42" s="1" t="s">
        <v>96</v>
      </c>
      <c r="E42" s="1" t="s">
        <v>133</v>
      </c>
      <c r="G42" s="1"/>
      <c r="J42" s="1" t="s">
        <v>34</v>
      </c>
      <c r="M42" s="38"/>
    </row>
    <row r="43">
      <c r="A43" s="1" t="s">
        <v>747</v>
      </c>
      <c r="B43" s="1">
        <v>8.0</v>
      </c>
      <c r="C43" s="1">
        <v>12.0</v>
      </c>
      <c r="D43" s="1" t="s">
        <v>96</v>
      </c>
      <c r="E43" s="1" t="s">
        <v>133</v>
      </c>
      <c r="G43" s="1"/>
      <c r="J43" s="1" t="s">
        <v>34</v>
      </c>
      <c r="M43" s="38"/>
    </row>
    <row r="44">
      <c r="A44" s="1" t="s">
        <v>154</v>
      </c>
      <c r="B44" s="1">
        <v>8.0</v>
      </c>
      <c r="C44" s="1">
        <v>4.0</v>
      </c>
      <c r="D44" s="1" t="s">
        <v>96</v>
      </c>
      <c r="E44" s="1" t="s">
        <v>133</v>
      </c>
      <c r="G44" s="1"/>
      <c r="J44" s="1" t="s">
        <v>39</v>
      </c>
      <c r="M44" s="38"/>
    </row>
    <row r="45">
      <c r="A45" s="1" t="s">
        <v>748</v>
      </c>
      <c r="B45" s="1">
        <v>8.0</v>
      </c>
      <c r="C45" s="1">
        <v>112.94</v>
      </c>
      <c r="D45" s="1" t="s">
        <v>96</v>
      </c>
      <c r="E45" s="1" t="s">
        <v>133</v>
      </c>
      <c r="G45" s="1"/>
      <c r="J45" s="1" t="s">
        <v>15</v>
      </c>
      <c r="M45" s="38"/>
    </row>
    <row r="46">
      <c r="A46" s="1" t="s">
        <v>749</v>
      </c>
      <c r="B46" s="1">
        <v>8.0</v>
      </c>
      <c r="C46" s="1">
        <v>62.13</v>
      </c>
      <c r="D46" s="1" t="s">
        <v>96</v>
      </c>
      <c r="E46" s="1" t="s">
        <v>133</v>
      </c>
      <c r="G46" s="1"/>
      <c r="J46" s="1" t="s">
        <v>18</v>
      </c>
      <c r="M46" s="38"/>
    </row>
    <row r="47">
      <c r="A47" s="1" t="s">
        <v>419</v>
      </c>
      <c r="B47" s="1">
        <v>8.0</v>
      </c>
      <c r="C47" s="1">
        <v>54.19</v>
      </c>
      <c r="D47" s="1" t="s">
        <v>96</v>
      </c>
      <c r="E47" s="1" t="s">
        <v>133</v>
      </c>
      <c r="G47" s="1"/>
      <c r="J47" s="1" t="s">
        <v>29</v>
      </c>
      <c r="M47" s="38"/>
    </row>
    <row r="48">
      <c r="A48" s="1" t="s">
        <v>254</v>
      </c>
      <c r="B48" s="1">
        <v>11.0</v>
      </c>
      <c r="C48" s="1">
        <v>116.9</v>
      </c>
      <c r="D48" s="1" t="s">
        <v>96</v>
      </c>
      <c r="E48" s="1" t="s">
        <v>133</v>
      </c>
      <c r="G48" s="1"/>
      <c r="J48" s="1" t="s">
        <v>15</v>
      </c>
      <c r="M48" s="38"/>
    </row>
    <row r="49">
      <c r="A49" s="1" t="s">
        <v>750</v>
      </c>
      <c r="B49" s="1">
        <v>11.0</v>
      </c>
      <c r="C49" s="1">
        <v>181.14</v>
      </c>
      <c r="D49" s="1" t="s">
        <v>96</v>
      </c>
      <c r="E49" s="1" t="s">
        <v>133</v>
      </c>
      <c r="G49" s="1"/>
      <c r="J49" s="1" t="s">
        <v>29</v>
      </c>
      <c r="M49" s="38"/>
    </row>
    <row r="50">
      <c r="A50" s="1" t="s">
        <v>263</v>
      </c>
      <c r="B50" s="1">
        <v>11.0</v>
      </c>
      <c r="C50" s="1">
        <v>97.9</v>
      </c>
      <c r="D50" s="1" t="s">
        <v>96</v>
      </c>
      <c r="E50" s="1" t="s">
        <v>133</v>
      </c>
      <c r="G50" s="1"/>
      <c r="J50" s="1" t="s">
        <v>28</v>
      </c>
      <c r="M50" s="38"/>
    </row>
    <row r="51">
      <c r="A51" s="1" t="s">
        <v>154</v>
      </c>
      <c r="B51" s="1">
        <v>12.0</v>
      </c>
      <c r="C51" s="1">
        <v>4.0</v>
      </c>
      <c r="D51" s="1" t="s">
        <v>96</v>
      </c>
      <c r="E51" s="1" t="s">
        <v>133</v>
      </c>
      <c r="G51" s="1"/>
      <c r="J51" s="1" t="s">
        <v>39</v>
      </c>
      <c r="M51" s="38"/>
    </row>
    <row r="52">
      <c r="A52" s="1" t="s">
        <v>392</v>
      </c>
      <c r="B52" s="1">
        <v>12.0</v>
      </c>
      <c r="C52" s="1">
        <v>44.15</v>
      </c>
      <c r="D52" s="1" t="s">
        <v>96</v>
      </c>
      <c r="E52" s="1" t="s">
        <v>133</v>
      </c>
      <c r="G52" s="1"/>
      <c r="J52" s="1" t="s">
        <v>24</v>
      </c>
      <c r="M52" s="38"/>
    </row>
    <row r="53">
      <c r="A53" s="1" t="s">
        <v>751</v>
      </c>
      <c r="B53" s="1">
        <v>12.0</v>
      </c>
      <c r="C53" s="1">
        <v>17.8</v>
      </c>
      <c r="D53" s="1" t="s">
        <v>96</v>
      </c>
      <c r="E53" s="1" t="s">
        <v>133</v>
      </c>
      <c r="G53" s="1"/>
      <c r="J53" s="1" t="s">
        <v>24</v>
      </c>
      <c r="M53" s="38"/>
    </row>
    <row r="54">
      <c r="A54" s="1" t="s">
        <v>752</v>
      </c>
      <c r="B54" s="1">
        <v>13.0</v>
      </c>
      <c r="C54" s="1">
        <v>20.99</v>
      </c>
      <c r="D54" s="1" t="s">
        <v>96</v>
      </c>
      <c r="E54" s="1" t="s">
        <v>133</v>
      </c>
      <c r="G54" s="1"/>
      <c r="J54" s="1" t="s">
        <v>32</v>
      </c>
      <c r="M54" s="38"/>
    </row>
    <row r="55">
      <c r="A55" s="1" t="s">
        <v>753</v>
      </c>
      <c r="B55" s="1">
        <v>13.0</v>
      </c>
      <c r="C55" s="1">
        <v>38.5</v>
      </c>
      <c r="D55" s="1" t="s">
        <v>96</v>
      </c>
      <c r="E55" s="1" t="s">
        <v>133</v>
      </c>
      <c r="G55" s="1"/>
      <c r="J55" s="1" t="s">
        <v>41</v>
      </c>
      <c r="M55" s="38"/>
    </row>
    <row r="56">
      <c r="A56" s="1" t="s">
        <v>754</v>
      </c>
      <c r="B56" s="1">
        <v>14.0</v>
      </c>
      <c r="C56" s="1">
        <v>40.0</v>
      </c>
      <c r="D56" s="1" t="s">
        <v>96</v>
      </c>
      <c r="E56" s="1" t="s">
        <v>133</v>
      </c>
      <c r="G56" s="1"/>
      <c r="J56" s="1" t="s">
        <v>18</v>
      </c>
      <c r="M56" s="38"/>
    </row>
    <row r="57">
      <c r="A57" s="1" t="s">
        <v>755</v>
      </c>
      <c r="B57" s="1">
        <v>14.0</v>
      </c>
      <c r="C57" s="1">
        <v>20.0</v>
      </c>
      <c r="D57" s="1" t="s">
        <v>96</v>
      </c>
      <c r="E57" s="1" t="s">
        <v>133</v>
      </c>
      <c r="G57" s="1"/>
      <c r="J57" s="1" t="s">
        <v>15</v>
      </c>
      <c r="M57" s="38"/>
    </row>
    <row r="58">
      <c r="A58" s="1" t="s">
        <v>154</v>
      </c>
      <c r="B58" s="1">
        <v>14.0</v>
      </c>
      <c r="C58" s="1">
        <v>4.0</v>
      </c>
      <c r="D58" s="1" t="s">
        <v>96</v>
      </c>
      <c r="E58" s="1" t="s">
        <v>133</v>
      </c>
      <c r="G58" s="1"/>
      <c r="J58" s="1" t="s">
        <v>29</v>
      </c>
      <c r="M58" s="38"/>
    </row>
    <row r="59">
      <c r="A59" s="1" t="s">
        <v>516</v>
      </c>
      <c r="B59" s="1">
        <v>14.0</v>
      </c>
      <c r="C59" s="1">
        <v>21.98</v>
      </c>
      <c r="D59" s="1" t="s">
        <v>96</v>
      </c>
      <c r="E59" s="1" t="s">
        <v>133</v>
      </c>
      <c r="G59" s="1"/>
      <c r="J59" s="1" t="s">
        <v>25</v>
      </c>
      <c r="M59" s="38"/>
    </row>
    <row r="60">
      <c r="A60" s="1" t="s">
        <v>263</v>
      </c>
      <c r="B60" s="1">
        <v>14.0</v>
      </c>
      <c r="C60" s="1">
        <v>11.7</v>
      </c>
      <c r="D60" s="1" t="s">
        <v>96</v>
      </c>
      <c r="E60" s="1" t="s">
        <v>133</v>
      </c>
      <c r="G60" s="1"/>
      <c r="J60" s="1" t="s">
        <v>28</v>
      </c>
      <c r="M60" s="38"/>
    </row>
    <row r="61">
      <c r="A61" s="1" t="s">
        <v>636</v>
      </c>
      <c r="B61" s="1">
        <v>15.0</v>
      </c>
      <c r="C61" s="1">
        <v>7.99</v>
      </c>
      <c r="D61" s="1" t="s">
        <v>96</v>
      </c>
      <c r="E61" s="1" t="s">
        <v>133</v>
      </c>
      <c r="G61" s="1"/>
      <c r="J61" s="1" t="s">
        <v>41</v>
      </c>
      <c r="M61" s="38"/>
    </row>
    <row r="62">
      <c r="A62" s="1" t="s">
        <v>636</v>
      </c>
      <c r="B62" s="1">
        <v>15.0</v>
      </c>
      <c r="C62" s="1">
        <v>41.99</v>
      </c>
      <c r="D62" s="1" t="s">
        <v>96</v>
      </c>
      <c r="E62" s="1" t="s">
        <v>133</v>
      </c>
      <c r="G62" s="1"/>
      <c r="J62" s="1" t="s">
        <v>41</v>
      </c>
      <c r="M62" s="38"/>
    </row>
    <row r="63">
      <c r="A63" s="1" t="s">
        <v>621</v>
      </c>
      <c r="B63" s="1">
        <v>15.0</v>
      </c>
      <c r="C63" s="1">
        <v>54.9</v>
      </c>
      <c r="D63" s="1" t="s">
        <v>96</v>
      </c>
      <c r="E63" s="1" t="s">
        <v>133</v>
      </c>
      <c r="G63" s="1"/>
      <c r="J63" s="1" t="s">
        <v>34</v>
      </c>
      <c r="M63" s="36" t="s">
        <v>476</v>
      </c>
    </row>
    <row r="64">
      <c r="A64" s="1" t="s">
        <v>637</v>
      </c>
      <c r="B64" s="1">
        <v>15.0</v>
      </c>
      <c r="C64" s="1">
        <v>34.99</v>
      </c>
      <c r="D64" s="1" t="s">
        <v>96</v>
      </c>
      <c r="E64" s="1" t="s">
        <v>133</v>
      </c>
      <c r="G64" s="1"/>
      <c r="J64" s="1" t="s">
        <v>31</v>
      </c>
      <c r="L64" s="42">
        <v>45323.0</v>
      </c>
      <c r="M64" s="36" t="s">
        <v>476</v>
      </c>
    </row>
    <row r="65">
      <c r="A65" s="1" t="s">
        <v>560</v>
      </c>
      <c r="B65" s="1">
        <v>16.0</v>
      </c>
      <c r="C65" s="1">
        <v>9.0</v>
      </c>
      <c r="D65" s="1" t="s">
        <v>96</v>
      </c>
      <c r="E65" s="1" t="s">
        <v>133</v>
      </c>
      <c r="G65" s="1"/>
      <c r="J65" s="1" t="s">
        <v>34</v>
      </c>
      <c r="M65" s="36" t="s">
        <v>476</v>
      </c>
    </row>
    <row r="66">
      <c r="A66" s="1" t="s">
        <v>154</v>
      </c>
      <c r="B66" s="1">
        <v>16.0</v>
      </c>
      <c r="C66" s="1">
        <v>9.0</v>
      </c>
      <c r="D66" s="1" t="s">
        <v>96</v>
      </c>
      <c r="E66" s="1" t="s">
        <v>133</v>
      </c>
      <c r="J66" s="1" t="s">
        <v>39</v>
      </c>
      <c r="M66" s="36" t="s">
        <v>476</v>
      </c>
    </row>
    <row r="67">
      <c r="A67" s="1" t="s">
        <v>392</v>
      </c>
      <c r="B67" s="1">
        <v>16.0</v>
      </c>
      <c r="C67" s="1">
        <v>24.28</v>
      </c>
      <c r="D67" s="1" t="s">
        <v>96</v>
      </c>
      <c r="E67" s="1" t="s">
        <v>133</v>
      </c>
      <c r="J67" s="1" t="s">
        <v>24</v>
      </c>
      <c r="M67" s="36" t="s">
        <v>476</v>
      </c>
    </row>
    <row r="68">
      <c r="A68" s="1" t="s">
        <v>638</v>
      </c>
      <c r="B68" s="1">
        <v>17.0</v>
      </c>
      <c r="C68" s="1">
        <v>38.0</v>
      </c>
      <c r="D68" s="1" t="s">
        <v>96</v>
      </c>
      <c r="E68" s="1" t="s">
        <v>117</v>
      </c>
      <c r="J68" s="1" t="s">
        <v>34</v>
      </c>
      <c r="M68" s="36" t="s">
        <v>476</v>
      </c>
    </row>
    <row r="69">
      <c r="A69" s="1" t="s">
        <v>639</v>
      </c>
      <c r="B69" s="1">
        <v>17.0</v>
      </c>
      <c r="C69" s="1">
        <v>13.5</v>
      </c>
      <c r="D69" s="1" t="s">
        <v>96</v>
      </c>
      <c r="E69" s="1" t="s">
        <v>133</v>
      </c>
      <c r="J69" s="1" t="s">
        <v>29</v>
      </c>
      <c r="M69" s="36" t="s">
        <v>476</v>
      </c>
    </row>
    <row r="70">
      <c r="A70" s="1" t="s">
        <v>640</v>
      </c>
      <c r="B70" s="1">
        <v>17.0</v>
      </c>
      <c r="C70" s="1">
        <v>60.93</v>
      </c>
      <c r="D70" s="1" t="s">
        <v>96</v>
      </c>
      <c r="E70" s="1" t="s">
        <v>133</v>
      </c>
      <c r="J70" s="1" t="s">
        <v>29</v>
      </c>
      <c r="M70" s="36" t="s">
        <v>476</v>
      </c>
    </row>
    <row r="71">
      <c r="A71" s="1" t="s">
        <v>641</v>
      </c>
      <c r="B71" s="1">
        <v>17.0</v>
      </c>
      <c r="C71" s="1">
        <v>213.36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34</v>
      </c>
      <c r="K71" s="42">
        <v>44959.0</v>
      </c>
      <c r="M71" s="36" t="s">
        <v>476</v>
      </c>
    </row>
    <row r="72">
      <c r="A72" s="1" t="s">
        <v>642</v>
      </c>
      <c r="B72" s="1">
        <v>17.0</v>
      </c>
      <c r="C72" s="1">
        <v>34.46</v>
      </c>
      <c r="D72" s="1" t="s">
        <v>96</v>
      </c>
      <c r="E72" s="1" t="s">
        <v>133</v>
      </c>
      <c r="J72" s="1" t="s">
        <v>29</v>
      </c>
      <c r="M72" s="36" t="s">
        <v>476</v>
      </c>
    </row>
    <row r="73">
      <c r="A73" s="1" t="s">
        <v>643</v>
      </c>
      <c r="B73" s="1">
        <v>18.0</v>
      </c>
      <c r="C73" s="1">
        <v>20.0</v>
      </c>
      <c r="D73" s="1" t="s">
        <v>96</v>
      </c>
      <c r="E73" s="1" t="s">
        <v>133</v>
      </c>
      <c r="J73" s="1" t="s">
        <v>18</v>
      </c>
      <c r="M73" s="36" t="s">
        <v>476</v>
      </c>
    </row>
    <row r="74">
      <c r="A74" s="1" t="s">
        <v>392</v>
      </c>
      <c r="B74" s="1">
        <v>19.0</v>
      </c>
      <c r="C74" s="1">
        <v>12.1</v>
      </c>
      <c r="D74" s="1" t="s">
        <v>96</v>
      </c>
      <c r="E74" s="1" t="s">
        <v>133</v>
      </c>
      <c r="J74" s="1" t="s">
        <v>24</v>
      </c>
      <c r="M74" s="36" t="s">
        <v>476</v>
      </c>
    </row>
    <row r="75">
      <c r="A75" s="1" t="s">
        <v>519</v>
      </c>
      <c r="B75" s="1">
        <v>20.0</v>
      </c>
      <c r="C75" s="1">
        <v>269.46</v>
      </c>
      <c r="D75" s="1" t="s">
        <v>96</v>
      </c>
      <c r="E75" s="1" t="s">
        <v>133</v>
      </c>
      <c r="J75" s="1" t="s">
        <v>29</v>
      </c>
      <c r="M75" s="36" t="s">
        <v>476</v>
      </c>
    </row>
    <row r="76">
      <c r="A76" s="1" t="s">
        <v>644</v>
      </c>
      <c r="B76" s="1">
        <v>21.0</v>
      </c>
      <c r="C76" s="1">
        <v>49.06</v>
      </c>
      <c r="D76" s="1" t="s">
        <v>96</v>
      </c>
      <c r="E76" s="1" t="s">
        <v>133</v>
      </c>
      <c r="J76" s="1" t="s">
        <v>18</v>
      </c>
      <c r="M76" s="36" t="s">
        <v>476</v>
      </c>
    </row>
    <row r="77">
      <c r="A77" s="1" t="s">
        <v>516</v>
      </c>
      <c r="B77" s="1">
        <v>23.0</v>
      </c>
      <c r="C77" s="1">
        <v>19.99</v>
      </c>
      <c r="D77" s="1" t="s">
        <v>96</v>
      </c>
      <c r="E77" s="1" t="s">
        <v>133</v>
      </c>
      <c r="J77" s="1" t="s">
        <v>39</v>
      </c>
      <c r="M77" s="36" t="s">
        <v>476</v>
      </c>
    </row>
    <row r="78">
      <c r="A78" s="1" t="s">
        <v>645</v>
      </c>
      <c r="B78" s="1">
        <v>23.0</v>
      </c>
      <c r="C78" s="1">
        <v>52.24</v>
      </c>
      <c r="D78" s="1" t="s">
        <v>96</v>
      </c>
      <c r="E78" s="1" t="s">
        <v>133</v>
      </c>
      <c r="J78" s="1" t="s">
        <v>18</v>
      </c>
      <c r="M78" s="36" t="s">
        <v>476</v>
      </c>
    </row>
    <row r="79">
      <c r="A79" s="1" t="s">
        <v>646</v>
      </c>
      <c r="B79" s="1">
        <v>23.0</v>
      </c>
      <c r="C79" s="1">
        <v>58.0</v>
      </c>
      <c r="D79" s="1" t="s">
        <v>96</v>
      </c>
      <c r="E79" s="1" t="s">
        <v>133</v>
      </c>
      <c r="J79" s="1" t="s">
        <v>34</v>
      </c>
      <c r="M79" s="36" t="s">
        <v>476</v>
      </c>
    </row>
    <row r="80">
      <c r="A80" s="1" t="s">
        <v>647</v>
      </c>
      <c r="B80" s="1">
        <v>23.0</v>
      </c>
      <c r="C80" s="1">
        <v>29.0</v>
      </c>
      <c r="D80" s="1" t="s">
        <v>96</v>
      </c>
      <c r="E80" s="1" t="s">
        <v>133</v>
      </c>
      <c r="J80" s="1" t="s">
        <v>34</v>
      </c>
      <c r="M80" s="38"/>
    </row>
    <row r="81">
      <c r="A81" s="1" t="s">
        <v>648</v>
      </c>
      <c r="B81" s="1">
        <v>23.0</v>
      </c>
      <c r="C81" s="1">
        <v>16.0</v>
      </c>
      <c r="D81" s="1" t="s">
        <v>96</v>
      </c>
      <c r="E81" s="1" t="s">
        <v>133</v>
      </c>
      <c r="J81" s="1" t="s">
        <v>34</v>
      </c>
      <c r="M81" s="38"/>
    </row>
    <row r="82">
      <c r="A82" s="1" t="s">
        <v>648</v>
      </c>
      <c r="B82" s="1">
        <v>23.0</v>
      </c>
      <c r="C82" s="1">
        <v>10.0</v>
      </c>
      <c r="D82" s="1" t="s">
        <v>96</v>
      </c>
      <c r="E82" s="1" t="s">
        <v>133</v>
      </c>
      <c r="J82" s="1" t="s">
        <v>34</v>
      </c>
      <c r="M82" s="38"/>
    </row>
    <row r="83">
      <c r="A83" s="1" t="s">
        <v>647</v>
      </c>
      <c r="B83" s="1">
        <v>23.0</v>
      </c>
      <c r="C83" s="1">
        <v>20.0</v>
      </c>
      <c r="D83" s="1" t="s">
        <v>96</v>
      </c>
      <c r="E83" s="1" t="s">
        <v>133</v>
      </c>
      <c r="J83" s="1" t="s">
        <v>34</v>
      </c>
      <c r="M83" s="38"/>
    </row>
    <row r="84">
      <c r="A84" s="1" t="s">
        <v>519</v>
      </c>
      <c r="B84" s="1">
        <v>23.0</v>
      </c>
      <c r="C84" s="1">
        <v>91.79</v>
      </c>
      <c r="D84" s="1" t="s">
        <v>96</v>
      </c>
      <c r="E84" s="1" t="s">
        <v>133</v>
      </c>
      <c r="J84" s="1" t="s">
        <v>29</v>
      </c>
      <c r="M84" s="38"/>
    </row>
    <row r="85">
      <c r="A85" s="1" t="s">
        <v>154</v>
      </c>
      <c r="B85" s="1">
        <v>24.0</v>
      </c>
      <c r="C85" s="1">
        <v>4.0</v>
      </c>
      <c r="D85" s="1" t="s">
        <v>96</v>
      </c>
      <c r="E85" s="1" t="s">
        <v>133</v>
      </c>
      <c r="J85" s="1" t="s">
        <v>39</v>
      </c>
      <c r="M85" s="38"/>
    </row>
    <row r="86">
      <c r="A86" s="1" t="s">
        <v>467</v>
      </c>
      <c r="B86" s="1">
        <v>25.0</v>
      </c>
      <c r="C86" s="1">
        <v>0.0</v>
      </c>
      <c r="D86" s="1" t="s">
        <v>96</v>
      </c>
      <c r="E86" s="1" t="s">
        <v>133</v>
      </c>
      <c r="J86" s="1" t="s">
        <v>34</v>
      </c>
      <c r="M86" s="38"/>
    </row>
    <row r="87">
      <c r="A87" s="1" t="s">
        <v>649</v>
      </c>
      <c r="B87" s="1">
        <v>26.0</v>
      </c>
      <c r="C87" s="1">
        <v>0.0</v>
      </c>
      <c r="D87" s="1" t="s">
        <v>96</v>
      </c>
      <c r="E87" s="1" t="s">
        <v>133</v>
      </c>
      <c r="J87" s="1" t="s">
        <v>34</v>
      </c>
      <c r="M87" s="38"/>
    </row>
    <row r="88">
      <c r="A88" s="1" t="s">
        <v>372</v>
      </c>
      <c r="B88" s="1">
        <v>26.0</v>
      </c>
      <c r="C88" s="1">
        <v>0.0</v>
      </c>
      <c r="D88" s="1" t="s">
        <v>96</v>
      </c>
      <c r="E88" s="1" t="s">
        <v>133</v>
      </c>
      <c r="J88" s="1" t="s">
        <v>20</v>
      </c>
      <c r="M88" s="38"/>
    </row>
    <row r="89">
      <c r="A89" s="1" t="s">
        <v>392</v>
      </c>
      <c r="B89" s="1">
        <v>0.0</v>
      </c>
      <c r="C89" s="1">
        <v>0.0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650</v>
      </c>
      <c r="B90" s="1">
        <v>0.0</v>
      </c>
      <c r="C90" s="1">
        <v>0.0</v>
      </c>
      <c r="D90" s="1" t="s">
        <v>96</v>
      </c>
      <c r="E90" s="1" t="s">
        <v>156</v>
      </c>
      <c r="J90" s="1" t="s">
        <v>29</v>
      </c>
      <c r="M90" s="38"/>
    </row>
    <row r="91">
      <c r="A91" s="1" t="s">
        <v>651</v>
      </c>
      <c r="B91" s="1">
        <v>0.0</v>
      </c>
      <c r="C91" s="1">
        <v>0.0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652</v>
      </c>
      <c r="B92" s="1">
        <v>0.0</v>
      </c>
      <c r="C92" s="1">
        <v>0.0</v>
      </c>
      <c r="D92" s="1" t="s">
        <v>96</v>
      </c>
      <c r="E92" s="1" t="s">
        <v>156</v>
      </c>
      <c r="J92" s="1" t="s">
        <v>42</v>
      </c>
      <c r="M92" s="38"/>
    </row>
    <row r="93">
      <c r="A93" s="1" t="s">
        <v>653</v>
      </c>
      <c r="B93" s="1">
        <v>0.0</v>
      </c>
      <c r="C93" s="1">
        <v>0.0</v>
      </c>
      <c r="D93" s="1" t="s">
        <v>96</v>
      </c>
      <c r="E93" s="1" t="s">
        <v>156</v>
      </c>
      <c r="J93" s="1" t="s">
        <v>42</v>
      </c>
      <c r="M93" s="38"/>
    </row>
    <row r="94">
      <c r="A94" s="1" t="s">
        <v>654</v>
      </c>
      <c r="B94" s="1">
        <v>0.0</v>
      </c>
      <c r="C94" s="1">
        <v>0.0</v>
      </c>
      <c r="D94" s="1" t="s">
        <v>96</v>
      </c>
      <c r="E94" s="1" t="s">
        <v>156</v>
      </c>
      <c r="J94" s="1" t="s">
        <v>28</v>
      </c>
      <c r="M94" s="38"/>
    </row>
    <row r="95">
      <c r="A95" s="1" t="s">
        <v>655</v>
      </c>
      <c r="B95" s="1">
        <v>0.0</v>
      </c>
      <c r="C95" s="1">
        <v>0.0</v>
      </c>
      <c r="D95" s="1" t="s">
        <v>96</v>
      </c>
      <c r="E95" s="1" t="s">
        <v>156</v>
      </c>
      <c r="J95" s="1" t="s">
        <v>21</v>
      </c>
      <c r="M95" s="38"/>
    </row>
    <row r="96">
      <c r="A96" s="1" t="s">
        <v>656</v>
      </c>
      <c r="B96" s="1">
        <v>0.0</v>
      </c>
      <c r="C96" s="1">
        <v>0.0</v>
      </c>
      <c r="D96" s="1" t="s">
        <v>96</v>
      </c>
      <c r="E96" s="1" t="s">
        <v>156</v>
      </c>
      <c r="J96" s="1" t="s">
        <v>28</v>
      </c>
      <c r="M96" s="38"/>
    </row>
    <row r="97">
      <c r="A97" s="1" t="s">
        <v>300</v>
      </c>
      <c r="B97" s="1">
        <v>0.0</v>
      </c>
      <c r="C97" s="1">
        <v>0.0</v>
      </c>
      <c r="D97" s="1" t="s">
        <v>96</v>
      </c>
      <c r="E97" s="1" t="s">
        <v>133</v>
      </c>
      <c r="J97" s="1" t="s">
        <v>29</v>
      </c>
      <c r="M97" s="38"/>
    </row>
    <row r="98">
      <c r="A98" s="1" t="s">
        <v>254</v>
      </c>
      <c r="B98" s="1">
        <v>0.0</v>
      </c>
      <c r="C98" s="1">
        <v>0.0</v>
      </c>
      <c r="D98" s="1" t="s">
        <v>96</v>
      </c>
      <c r="E98" s="1" t="s">
        <v>133</v>
      </c>
      <c r="J98" s="1" t="s">
        <v>15</v>
      </c>
      <c r="M98" s="38"/>
    </row>
    <row r="99">
      <c r="A99" s="1" t="s">
        <v>657</v>
      </c>
      <c r="B99" s="1">
        <v>0.0</v>
      </c>
      <c r="C99" s="1">
        <v>0.0</v>
      </c>
      <c r="D99" s="1" t="s">
        <v>96</v>
      </c>
      <c r="E99" s="1" t="s">
        <v>133</v>
      </c>
      <c r="J99" s="1" t="s">
        <v>31</v>
      </c>
      <c r="M99" s="38"/>
    </row>
    <row r="100">
      <c r="A100" s="1" t="s">
        <v>658</v>
      </c>
      <c r="B100" s="1">
        <v>0.0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444</v>
      </c>
      <c r="B101" s="1">
        <v>0.0</v>
      </c>
      <c r="C101" s="1">
        <v>0.0</v>
      </c>
      <c r="D101" s="1" t="s">
        <v>96</v>
      </c>
      <c r="E101" s="1" t="s">
        <v>133</v>
      </c>
      <c r="J101" s="1" t="s">
        <v>31</v>
      </c>
      <c r="M101" s="38"/>
    </row>
    <row r="102">
      <c r="A102" s="1"/>
      <c r="J102" s="14"/>
      <c r="M102" s="38"/>
    </row>
    <row r="103">
      <c r="A103" s="1" t="s">
        <v>236</v>
      </c>
      <c r="C103" s="1">
        <f>9167.28*0.3-(633.9)</f>
        <v>2116.284</v>
      </c>
      <c r="M103" s="38"/>
    </row>
    <row r="104">
      <c r="A104" s="1" t="s">
        <v>50</v>
      </c>
      <c r="C104" s="8">
        <f>SUM(C2:C101)</f>
        <v>6641.71</v>
      </c>
      <c r="D104" s="8">
        <f>(9167.28)-C104-C103</f>
        <v>409.286</v>
      </c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6" t="s">
        <v>240</v>
      </c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B150" s="8"/>
      <c r="M150" s="38"/>
    </row>
    <row r="151">
      <c r="M151" s="38"/>
    </row>
    <row r="152">
      <c r="M152" s="38"/>
    </row>
    <row r="153">
      <c r="B153" s="8">
        <f>9167.28-B149</f>
        <v>2525.57</v>
      </c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</sheetData>
  <autoFilter ref="$A$1:$BV$17"/>
  <conditionalFormatting sqref="B153">
    <cfRule type="cellIs" dxfId="1" priority="1" operator="greaterThanOrEqual">
      <formula>0</formula>
    </cfRule>
  </conditionalFormatting>
  <conditionalFormatting sqref="B153">
    <cfRule type="cellIs" dxfId="2" priority="2" operator="lessThan">
      <formula>0</formula>
    </cfRule>
  </conditionalFormatting>
  <dataValidations>
    <dataValidation type="list" allowBlank="1" showErrorMessage="1" sqref="J2:J102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veicular,ferias,projetos"</formula1>
    </dataValidation>
  </dataValidation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695.0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1113.31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2" t="s">
        <v>106</v>
      </c>
      <c r="B5" s="2">
        <v>14.0</v>
      </c>
      <c r="C5" s="40">
        <v>696.36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129.0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756</v>
      </c>
      <c r="B10" s="1">
        <v>29.0</v>
      </c>
      <c r="C10" s="37">
        <v>0.0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100.46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65.0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154</v>
      </c>
      <c r="B23" s="1">
        <v>0.0</v>
      </c>
      <c r="C23" s="1">
        <v>0.0</v>
      </c>
      <c r="D23" s="1" t="s">
        <v>96</v>
      </c>
      <c r="E23" s="1" t="s">
        <v>105</v>
      </c>
      <c r="J23" s="1" t="s">
        <v>39</v>
      </c>
      <c r="M23" s="38"/>
    </row>
    <row r="24">
      <c r="A24" s="1" t="s">
        <v>467</v>
      </c>
      <c r="B24" s="1">
        <v>0.0</v>
      </c>
      <c r="C24" s="1">
        <v>0.0</v>
      </c>
      <c r="D24" s="1" t="s">
        <v>96</v>
      </c>
      <c r="E24" s="1" t="s">
        <v>105</v>
      </c>
      <c r="G24" s="1"/>
      <c r="J24" s="1" t="s">
        <v>18</v>
      </c>
      <c r="M24" s="38"/>
    </row>
    <row r="25">
      <c r="A25" s="1" t="s">
        <v>738</v>
      </c>
      <c r="B25" s="1">
        <v>0.0</v>
      </c>
      <c r="C25" s="1">
        <v>0.0</v>
      </c>
      <c r="D25" s="1" t="s">
        <v>96</v>
      </c>
      <c r="E25" s="1" t="s">
        <v>105</v>
      </c>
      <c r="G25" s="1"/>
      <c r="J25" s="1" t="s">
        <v>31</v>
      </c>
      <c r="M25" s="38"/>
    </row>
    <row r="26">
      <c r="A26" s="1" t="s">
        <v>621</v>
      </c>
      <c r="B26" s="1">
        <v>0.0</v>
      </c>
      <c r="C26" s="1">
        <v>0.0</v>
      </c>
      <c r="D26" s="1" t="s">
        <v>96</v>
      </c>
      <c r="E26" s="1" t="s">
        <v>105</v>
      </c>
      <c r="G26" s="1"/>
      <c r="J26" s="1" t="s">
        <v>34</v>
      </c>
      <c r="M26" s="38"/>
    </row>
    <row r="27">
      <c r="A27" s="1" t="s">
        <v>154</v>
      </c>
      <c r="B27" s="1">
        <v>0.0</v>
      </c>
      <c r="C27" s="1">
        <v>0.0</v>
      </c>
      <c r="D27" s="1" t="s">
        <v>96</v>
      </c>
      <c r="E27" s="1" t="s">
        <v>105</v>
      </c>
      <c r="G27" s="1"/>
      <c r="J27" s="1" t="s">
        <v>39</v>
      </c>
      <c r="M27" s="38"/>
    </row>
    <row r="28">
      <c r="A28" s="1" t="s">
        <v>392</v>
      </c>
      <c r="B28" s="1">
        <v>0.0</v>
      </c>
      <c r="C28" s="1">
        <v>0.0</v>
      </c>
      <c r="D28" s="1" t="s">
        <v>96</v>
      </c>
      <c r="E28" s="1" t="s">
        <v>133</v>
      </c>
      <c r="G28" s="1"/>
      <c r="J28" s="1" t="s">
        <v>24</v>
      </c>
      <c r="M28" s="38"/>
    </row>
    <row r="29">
      <c r="A29" s="1" t="s">
        <v>154</v>
      </c>
      <c r="B29" s="1">
        <v>0.0</v>
      </c>
      <c r="C29" s="1">
        <v>0.0</v>
      </c>
      <c r="D29" s="1" t="s">
        <v>96</v>
      </c>
      <c r="E29" s="1" t="s">
        <v>133</v>
      </c>
      <c r="G29" s="1"/>
      <c r="J29" s="1" t="s">
        <v>39</v>
      </c>
      <c r="M29" s="38"/>
    </row>
    <row r="30">
      <c r="A30" s="1" t="s">
        <v>516</v>
      </c>
      <c r="B30" s="1">
        <v>0.0</v>
      </c>
      <c r="C30" s="1">
        <v>0.0</v>
      </c>
      <c r="D30" s="1" t="s">
        <v>96</v>
      </c>
      <c r="E30" s="1" t="s">
        <v>133</v>
      </c>
      <c r="G30" s="1"/>
      <c r="J30" s="1" t="s">
        <v>25</v>
      </c>
      <c r="M30" s="38"/>
    </row>
    <row r="31">
      <c r="A31" s="1" t="s">
        <v>209</v>
      </c>
      <c r="B31" s="1">
        <v>1.0</v>
      </c>
      <c r="C31" s="1">
        <v>0.0</v>
      </c>
      <c r="D31" s="1" t="s">
        <v>96</v>
      </c>
      <c r="E31" s="1" t="s">
        <v>133</v>
      </c>
      <c r="G31" s="1"/>
      <c r="J31" s="1" t="s">
        <v>24</v>
      </c>
      <c r="M31" s="38"/>
    </row>
    <row r="32">
      <c r="A32" s="1" t="s">
        <v>739</v>
      </c>
      <c r="B32" s="1">
        <v>1.0</v>
      </c>
      <c r="C32" s="1">
        <v>0.0</v>
      </c>
      <c r="D32" s="1" t="s">
        <v>96</v>
      </c>
      <c r="E32" s="1" t="s">
        <v>133</v>
      </c>
      <c r="G32" s="1"/>
      <c r="J32" s="1" t="s">
        <v>14</v>
      </c>
      <c r="M32" s="38"/>
    </row>
    <row r="33">
      <c r="A33" s="1" t="s">
        <v>740</v>
      </c>
      <c r="B33" s="1">
        <v>1.0</v>
      </c>
      <c r="C33" s="1">
        <v>0.0</v>
      </c>
      <c r="D33" s="1" t="s">
        <v>96</v>
      </c>
      <c r="E33" s="1" t="s">
        <v>133</v>
      </c>
      <c r="G33" s="1"/>
      <c r="J33" s="1" t="s">
        <v>32</v>
      </c>
      <c r="M33" s="38"/>
    </row>
    <row r="34">
      <c r="A34" s="1" t="s">
        <v>741</v>
      </c>
      <c r="B34" s="1">
        <v>1.0</v>
      </c>
      <c r="C34" s="1">
        <v>0.0</v>
      </c>
      <c r="D34" s="1" t="s">
        <v>96</v>
      </c>
      <c r="E34" s="1" t="s">
        <v>133</v>
      </c>
      <c r="G34" s="1"/>
      <c r="J34" s="1" t="s">
        <v>29</v>
      </c>
      <c r="M34" s="38"/>
    </row>
    <row r="35">
      <c r="A35" s="1" t="s">
        <v>742</v>
      </c>
      <c r="B35" s="1">
        <v>2.0</v>
      </c>
      <c r="C35" s="1">
        <v>0.0</v>
      </c>
      <c r="D35" s="1" t="s">
        <v>96</v>
      </c>
      <c r="E35" s="1" t="s">
        <v>133</v>
      </c>
      <c r="G35" s="1"/>
      <c r="J35" s="1" t="s">
        <v>24</v>
      </c>
      <c r="M35" s="38"/>
    </row>
    <row r="36">
      <c r="A36" s="1" t="s">
        <v>154</v>
      </c>
      <c r="B36" s="1">
        <v>2.0</v>
      </c>
      <c r="C36" s="1">
        <v>0.0</v>
      </c>
      <c r="D36" s="1" t="s">
        <v>96</v>
      </c>
      <c r="E36" s="1" t="s">
        <v>133</v>
      </c>
      <c r="G36" s="1"/>
      <c r="J36" s="1" t="s">
        <v>39</v>
      </c>
      <c r="M36" s="38"/>
    </row>
    <row r="37">
      <c r="A37" s="1" t="s">
        <v>743</v>
      </c>
      <c r="B37" s="1">
        <v>4.0</v>
      </c>
      <c r="C37" s="1">
        <v>0.0</v>
      </c>
      <c r="D37" s="1" t="s">
        <v>96</v>
      </c>
      <c r="E37" s="1" t="s">
        <v>133</v>
      </c>
      <c r="G37" s="1"/>
      <c r="J37" s="1" t="s">
        <v>44</v>
      </c>
      <c r="M37" s="36" t="s">
        <v>43</v>
      </c>
    </row>
    <row r="38">
      <c r="A38" s="1" t="s">
        <v>154</v>
      </c>
      <c r="B38" s="1">
        <v>5.0</v>
      </c>
      <c r="C38" s="1">
        <v>0.0</v>
      </c>
      <c r="D38" s="1" t="s">
        <v>96</v>
      </c>
      <c r="E38" s="1" t="s">
        <v>133</v>
      </c>
      <c r="G38" s="1"/>
      <c r="J38" s="1" t="s">
        <v>39</v>
      </c>
      <c r="M38" s="38"/>
    </row>
    <row r="39">
      <c r="A39" s="1" t="s">
        <v>744</v>
      </c>
      <c r="B39" s="1">
        <v>5.0</v>
      </c>
      <c r="C39" s="1">
        <v>0.0</v>
      </c>
      <c r="D39" s="1" t="s">
        <v>96</v>
      </c>
      <c r="E39" s="1" t="s">
        <v>133</v>
      </c>
      <c r="G39" s="1"/>
      <c r="J39" s="1" t="s">
        <v>25</v>
      </c>
      <c r="M39" s="38"/>
    </row>
    <row r="40">
      <c r="A40" s="1" t="s">
        <v>745</v>
      </c>
      <c r="B40" s="1">
        <v>6.0</v>
      </c>
      <c r="C40" s="1">
        <v>0.0</v>
      </c>
      <c r="D40" s="1" t="s">
        <v>96</v>
      </c>
      <c r="E40" s="1" t="s">
        <v>133</v>
      </c>
      <c r="G40" s="1"/>
      <c r="J40" s="1" t="s">
        <v>29</v>
      </c>
      <c r="M40" s="38"/>
    </row>
    <row r="41">
      <c r="A41" s="1" t="s">
        <v>154</v>
      </c>
      <c r="B41" s="1">
        <v>7.0</v>
      </c>
      <c r="C41" s="1">
        <v>0.0</v>
      </c>
      <c r="D41" s="1" t="s">
        <v>96</v>
      </c>
      <c r="E41" s="1" t="s">
        <v>133</v>
      </c>
      <c r="G41" s="1"/>
      <c r="J41" s="1" t="s">
        <v>39</v>
      </c>
      <c r="L41" s="42">
        <v>45323.0</v>
      </c>
      <c r="M41" s="38"/>
    </row>
    <row r="42">
      <c r="A42" s="1" t="s">
        <v>746</v>
      </c>
      <c r="B42" s="1">
        <v>8.0</v>
      </c>
      <c r="C42" s="1">
        <v>0.0</v>
      </c>
      <c r="D42" s="1" t="s">
        <v>96</v>
      </c>
      <c r="E42" s="1" t="s">
        <v>133</v>
      </c>
      <c r="G42" s="1"/>
      <c r="J42" s="1" t="s">
        <v>34</v>
      </c>
      <c r="M42" s="38"/>
    </row>
    <row r="43">
      <c r="A43" s="1" t="s">
        <v>747</v>
      </c>
      <c r="B43" s="1">
        <v>8.0</v>
      </c>
      <c r="C43" s="1">
        <v>0.0</v>
      </c>
      <c r="D43" s="1" t="s">
        <v>96</v>
      </c>
      <c r="E43" s="1" t="s">
        <v>133</v>
      </c>
      <c r="G43" s="1"/>
      <c r="J43" s="1" t="s">
        <v>34</v>
      </c>
      <c r="M43" s="38"/>
    </row>
    <row r="44">
      <c r="A44" s="1" t="s">
        <v>154</v>
      </c>
      <c r="B44" s="1">
        <v>8.0</v>
      </c>
      <c r="C44" s="1">
        <v>0.0</v>
      </c>
      <c r="D44" s="1" t="s">
        <v>96</v>
      </c>
      <c r="E44" s="1" t="s">
        <v>133</v>
      </c>
      <c r="G44" s="1"/>
      <c r="J44" s="1" t="s">
        <v>39</v>
      </c>
      <c r="M44" s="38"/>
    </row>
    <row r="45">
      <c r="A45" s="1" t="s">
        <v>748</v>
      </c>
      <c r="B45" s="1">
        <v>8.0</v>
      </c>
      <c r="C45" s="1">
        <v>0.0</v>
      </c>
      <c r="D45" s="1" t="s">
        <v>96</v>
      </c>
      <c r="E45" s="1" t="s">
        <v>133</v>
      </c>
      <c r="G45" s="1"/>
      <c r="J45" s="1" t="s">
        <v>15</v>
      </c>
      <c r="M45" s="38"/>
    </row>
    <row r="46">
      <c r="A46" s="1" t="s">
        <v>749</v>
      </c>
      <c r="B46" s="1">
        <v>8.0</v>
      </c>
      <c r="C46" s="1">
        <v>0.0</v>
      </c>
      <c r="D46" s="1" t="s">
        <v>96</v>
      </c>
      <c r="E46" s="1" t="s">
        <v>133</v>
      </c>
      <c r="G46" s="1"/>
      <c r="J46" s="1" t="s">
        <v>18</v>
      </c>
      <c r="M46" s="38"/>
    </row>
    <row r="47">
      <c r="A47" s="1" t="s">
        <v>419</v>
      </c>
      <c r="B47" s="1">
        <v>8.0</v>
      </c>
      <c r="C47" s="1">
        <v>0.0</v>
      </c>
      <c r="D47" s="1" t="s">
        <v>96</v>
      </c>
      <c r="E47" s="1" t="s">
        <v>133</v>
      </c>
      <c r="G47" s="1"/>
      <c r="J47" s="1" t="s">
        <v>29</v>
      </c>
      <c r="M47" s="38"/>
    </row>
    <row r="48">
      <c r="A48" s="1" t="s">
        <v>254</v>
      </c>
      <c r="B48" s="1">
        <v>11.0</v>
      </c>
      <c r="C48" s="1">
        <v>0.0</v>
      </c>
      <c r="D48" s="1" t="s">
        <v>96</v>
      </c>
      <c r="E48" s="1" t="s">
        <v>133</v>
      </c>
      <c r="G48" s="1"/>
      <c r="J48" s="1" t="s">
        <v>15</v>
      </c>
      <c r="M48" s="38"/>
    </row>
    <row r="49">
      <c r="A49" s="1" t="s">
        <v>750</v>
      </c>
      <c r="B49" s="1">
        <v>11.0</v>
      </c>
      <c r="C49" s="1">
        <v>0.0</v>
      </c>
      <c r="D49" s="1" t="s">
        <v>96</v>
      </c>
      <c r="E49" s="1" t="s">
        <v>133</v>
      </c>
      <c r="G49" s="1"/>
      <c r="J49" s="1" t="s">
        <v>29</v>
      </c>
      <c r="M49" s="38"/>
    </row>
    <row r="50">
      <c r="A50" s="1" t="s">
        <v>263</v>
      </c>
      <c r="B50" s="1">
        <v>11.0</v>
      </c>
      <c r="C50" s="1">
        <v>0.0</v>
      </c>
      <c r="D50" s="1" t="s">
        <v>96</v>
      </c>
      <c r="E50" s="1" t="s">
        <v>133</v>
      </c>
      <c r="G50" s="1"/>
      <c r="J50" s="1" t="s">
        <v>28</v>
      </c>
      <c r="M50" s="38"/>
    </row>
    <row r="51">
      <c r="A51" s="1" t="s">
        <v>154</v>
      </c>
      <c r="B51" s="1">
        <v>12.0</v>
      </c>
      <c r="C51" s="1">
        <v>0.0</v>
      </c>
      <c r="D51" s="1" t="s">
        <v>96</v>
      </c>
      <c r="E51" s="1" t="s">
        <v>133</v>
      </c>
      <c r="G51" s="1"/>
      <c r="J51" s="1" t="s">
        <v>39</v>
      </c>
      <c r="M51" s="38"/>
    </row>
    <row r="52">
      <c r="A52" s="1" t="s">
        <v>392</v>
      </c>
      <c r="B52" s="1">
        <v>12.0</v>
      </c>
      <c r="C52" s="1">
        <v>0.0</v>
      </c>
      <c r="D52" s="1" t="s">
        <v>96</v>
      </c>
      <c r="E52" s="1" t="s">
        <v>133</v>
      </c>
      <c r="G52" s="1"/>
      <c r="J52" s="1" t="s">
        <v>24</v>
      </c>
      <c r="M52" s="38"/>
    </row>
    <row r="53">
      <c r="A53" s="1" t="s">
        <v>751</v>
      </c>
      <c r="B53" s="1">
        <v>12.0</v>
      </c>
      <c r="C53" s="1">
        <v>0.0</v>
      </c>
      <c r="D53" s="1" t="s">
        <v>96</v>
      </c>
      <c r="E53" s="1" t="s">
        <v>133</v>
      </c>
      <c r="G53" s="1"/>
      <c r="J53" s="1" t="s">
        <v>24</v>
      </c>
      <c r="M53" s="38"/>
    </row>
    <row r="54">
      <c r="A54" s="1" t="s">
        <v>752</v>
      </c>
      <c r="B54" s="1">
        <v>13.0</v>
      </c>
      <c r="C54" s="1">
        <v>0.0</v>
      </c>
      <c r="D54" s="1" t="s">
        <v>96</v>
      </c>
      <c r="E54" s="1" t="s">
        <v>133</v>
      </c>
      <c r="G54" s="1"/>
      <c r="J54" s="1" t="s">
        <v>32</v>
      </c>
      <c r="M54" s="38"/>
    </row>
    <row r="55">
      <c r="A55" s="1" t="s">
        <v>753</v>
      </c>
      <c r="B55" s="1">
        <v>13.0</v>
      </c>
      <c r="C55" s="1">
        <v>0.0</v>
      </c>
      <c r="D55" s="1" t="s">
        <v>96</v>
      </c>
      <c r="E55" s="1" t="s">
        <v>133</v>
      </c>
      <c r="G55" s="1"/>
      <c r="J55" s="1" t="s">
        <v>41</v>
      </c>
      <c r="M55" s="38"/>
    </row>
    <row r="56">
      <c r="A56" s="1" t="s">
        <v>754</v>
      </c>
      <c r="B56" s="1">
        <v>14.0</v>
      </c>
      <c r="C56" s="1">
        <v>0.0</v>
      </c>
      <c r="D56" s="1" t="s">
        <v>96</v>
      </c>
      <c r="E56" s="1" t="s">
        <v>133</v>
      </c>
      <c r="G56" s="1"/>
      <c r="J56" s="1" t="s">
        <v>18</v>
      </c>
      <c r="M56" s="38"/>
    </row>
    <row r="57">
      <c r="A57" s="1" t="s">
        <v>755</v>
      </c>
      <c r="B57" s="1">
        <v>14.0</v>
      </c>
      <c r="C57" s="1">
        <v>0.0</v>
      </c>
      <c r="D57" s="1" t="s">
        <v>96</v>
      </c>
      <c r="E57" s="1" t="s">
        <v>133</v>
      </c>
      <c r="G57" s="1"/>
      <c r="J57" s="1" t="s">
        <v>15</v>
      </c>
      <c r="M57" s="38"/>
    </row>
    <row r="58">
      <c r="A58" s="1" t="s">
        <v>154</v>
      </c>
      <c r="B58" s="1">
        <v>14.0</v>
      </c>
      <c r="C58" s="1">
        <v>0.0</v>
      </c>
      <c r="D58" s="1" t="s">
        <v>96</v>
      </c>
      <c r="E58" s="1" t="s">
        <v>133</v>
      </c>
      <c r="G58" s="1"/>
      <c r="J58" s="1" t="s">
        <v>29</v>
      </c>
      <c r="M58" s="38"/>
    </row>
    <row r="59">
      <c r="A59" s="1" t="s">
        <v>516</v>
      </c>
      <c r="B59" s="1">
        <v>14.0</v>
      </c>
      <c r="C59" s="1">
        <v>0.0</v>
      </c>
      <c r="D59" s="1" t="s">
        <v>96</v>
      </c>
      <c r="E59" s="1" t="s">
        <v>133</v>
      </c>
      <c r="G59" s="1"/>
      <c r="J59" s="1" t="s">
        <v>25</v>
      </c>
      <c r="M59" s="38"/>
    </row>
    <row r="60">
      <c r="A60" s="1" t="s">
        <v>263</v>
      </c>
      <c r="B60" s="1">
        <v>14.0</v>
      </c>
      <c r="C60" s="1">
        <v>0.0</v>
      </c>
      <c r="D60" s="1" t="s">
        <v>96</v>
      </c>
      <c r="E60" s="1" t="s">
        <v>133</v>
      </c>
      <c r="G60" s="1"/>
      <c r="J60" s="1" t="s">
        <v>28</v>
      </c>
      <c r="M60" s="38"/>
    </row>
    <row r="61">
      <c r="A61" s="1" t="s">
        <v>636</v>
      </c>
      <c r="B61" s="1">
        <v>15.0</v>
      </c>
      <c r="C61" s="1">
        <v>0.0</v>
      </c>
      <c r="D61" s="1" t="s">
        <v>96</v>
      </c>
      <c r="E61" s="1" t="s">
        <v>133</v>
      </c>
      <c r="G61" s="1"/>
      <c r="J61" s="1" t="s">
        <v>41</v>
      </c>
      <c r="M61" s="38"/>
    </row>
    <row r="62">
      <c r="A62" s="1" t="s">
        <v>636</v>
      </c>
      <c r="B62" s="1">
        <v>15.0</v>
      </c>
      <c r="C62" s="1">
        <v>0.0</v>
      </c>
      <c r="D62" s="1" t="s">
        <v>96</v>
      </c>
      <c r="E62" s="1" t="s">
        <v>133</v>
      </c>
      <c r="G62" s="1"/>
      <c r="J62" s="1" t="s">
        <v>41</v>
      </c>
      <c r="M62" s="38"/>
    </row>
    <row r="63">
      <c r="A63" s="1" t="s">
        <v>621</v>
      </c>
      <c r="B63" s="1">
        <v>15.0</v>
      </c>
      <c r="C63" s="1">
        <v>0.0</v>
      </c>
      <c r="D63" s="1" t="s">
        <v>96</v>
      </c>
      <c r="E63" s="1" t="s">
        <v>133</v>
      </c>
      <c r="G63" s="1"/>
      <c r="J63" s="1" t="s">
        <v>34</v>
      </c>
      <c r="M63" s="36" t="s">
        <v>476</v>
      </c>
    </row>
    <row r="64">
      <c r="A64" s="1" t="s">
        <v>637</v>
      </c>
      <c r="B64" s="1">
        <v>15.0</v>
      </c>
      <c r="C64" s="1">
        <v>0.0</v>
      </c>
      <c r="D64" s="1" t="s">
        <v>96</v>
      </c>
      <c r="E64" s="1" t="s">
        <v>133</v>
      </c>
      <c r="G64" s="1"/>
      <c r="J64" s="1" t="s">
        <v>31</v>
      </c>
      <c r="L64" s="42">
        <v>45323.0</v>
      </c>
      <c r="M64" s="36" t="s">
        <v>476</v>
      </c>
    </row>
    <row r="65">
      <c r="A65" s="1" t="s">
        <v>560</v>
      </c>
      <c r="B65" s="1">
        <v>16.0</v>
      </c>
      <c r="C65" s="1">
        <v>0.0</v>
      </c>
      <c r="D65" s="1" t="s">
        <v>96</v>
      </c>
      <c r="E65" s="1" t="s">
        <v>133</v>
      </c>
      <c r="G65" s="1"/>
      <c r="J65" s="1" t="s">
        <v>34</v>
      </c>
      <c r="M65" s="36" t="s">
        <v>476</v>
      </c>
    </row>
    <row r="66">
      <c r="A66" s="1" t="s">
        <v>154</v>
      </c>
      <c r="B66" s="1">
        <v>16.0</v>
      </c>
      <c r="C66" s="1">
        <v>0.0</v>
      </c>
      <c r="D66" s="1" t="s">
        <v>96</v>
      </c>
      <c r="E66" s="1" t="s">
        <v>133</v>
      </c>
      <c r="J66" s="1" t="s">
        <v>39</v>
      </c>
      <c r="M66" s="36" t="s">
        <v>476</v>
      </c>
    </row>
    <row r="67">
      <c r="A67" s="1" t="s">
        <v>392</v>
      </c>
      <c r="B67" s="1">
        <v>16.0</v>
      </c>
      <c r="C67" s="1">
        <v>0.0</v>
      </c>
      <c r="D67" s="1" t="s">
        <v>96</v>
      </c>
      <c r="E67" s="1" t="s">
        <v>133</v>
      </c>
      <c r="J67" s="1" t="s">
        <v>24</v>
      </c>
      <c r="M67" s="36" t="s">
        <v>476</v>
      </c>
    </row>
    <row r="68">
      <c r="A68" s="1" t="s">
        <v>638</v>
      </c>
      <c r="B68" s="1">
        <v>17.0</v>
      </c>
      <c r="C68" s="1">
        <v>0.0</v>
      </c>
      <c r="D68" s="1" t="s">
        <v>96</v>
      </c>
      <c r="E68" s="1" t="s">
        <v>117</v>
      </c>
      <c r="J68" s="1" t="s">
        <v>34</v>
      </c>
      <c r="M68" s="36" t="s">
        <v>476</v>
      </c>
    </row>
    <row r="69">
      <c r="A69" s="1" t="s">
        <v>639</v>
      </c>
      <c r="B69" s="1">
        <v>17.0</v>
      </c>
      <c r="C69" s="1">
        <v>0.0</v>
      </c>
      <c r="D69" s="1" t="s">
        <v>96</v>
      </c>
      <c r="E69" s="1" t="s">
        <v>133</v>
      </c>
      <c r="J69" s="1" t="s">
        <v>29</v>
      </c>
      <c r="M69" s="36" t="s">
        <v>476</v>
      </c>
    </row>
    <row r="70">
      <c r="A70" s="1" t="s">
        <v>640</v>
      </c>
      <c r="B70" s="1">
        <v>17.0</v>
      </c>
      <c r="C70" s="1">
        <v>0.0</v>
      </c>
      <c r="D70" s="1" t="s">
        <v>96</v>
      </c>
      <c r="E70" s="1" t="s">
        <v>133</v>
      </c>
      <c r="J70" s="1" t="s">
        <v>29</v>
      </c>
      <c r="M70" s="36" t="s">
        <v>476</v>
      </c>
    </row>
    <row r="71">
      <c r="A71" s="1" t="s">
        <v>641</v>
      </c>
      <c r="B71" s="1">
        <v>17.0</v>
      </c>
      <c r="C71" s="1">
        <v>0.0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34</v>
      </c>
      <c r="K71" s="42">
        <v>44959.0</v>
      </c>
      <c r="M71" s="36" t="s">
        <v>476</v>
      </c>
    </row>
    <row r="72">
      <c r="A72" s="1" t="s">
        <v>642</v>
      </c>
      <c r="B72" s="1">
        <v>17.0</v>
      </c>
      <c r="C72" s="1">
        <v>0.0</v>
      </c>
      <c r="D72" s="1" t="s">
        <v>96</v>
      </c>
      <c r="E72" s="1" t="s">
        <v>133</v>
      </c>
      <c r="J72" s="1" t="s">
        <v>29</v>
      </c>
      <c r="M72" s="36" t="s">
        <v>476</v>
      </c>
    </row>
    <row r="73">
      <c r="A73" s="1" t="s">
        <v>643</v>
      </c>
      <c r="B73" s="1">
        <v>18.0</v>
      </c>
      <c r="C73" s="1">
        <v>0.0</v>
      </c>
      <c r="D73" s="1" t="s">
        <v>96</v>
      </c>
      <c r="E73" s="1" t="s">
        <v>133</v>
      </c>
      <c r="J73" s="1" t="s">
        <v>18</v>
      </c>
      <c r="M73" s="36" t="s">
        <v>476</v>
      </c>
    </row>
    <row r="74">
      <c r="A74" s="1" t="s">
        <v>392</v>
      </c>
      <c r="B74" s="1">
        <v>19.0</v>
      </c>
      <c r="C74" s="1">
        <v>0.0</v>
      </c>
      <c r="D74" s="1" t="s">
        <v>96</v>
      </c>
      <c r="E74" s="1" t="s">
        <v>133</v>
      </c>
      <c r="J74" s="1" t="s">
        <v>24</v>
      </c>
      <c r="M74" s="36" t="s">
        <v>476</v>
      </c>
    </row>
    <row r="75">
      <c r="A75" s="1" t="s">
        <v>519</v>
      </c>
      <c r="B75" s="1">
        <v>20.0</v>
      </c>
      <c r="C75" s="1">
        <v>0.0</v>
      </c>
      <c r="D75" s="1" t="s">
        <v>96</v>
      </c>
      <c r="E75" s="1" t="s">
        <v>133</v>
      </c>
      <c r="J75" s="1" t="s">
        <v>29</v>
      </c>
      <c r="M75" s="36" t="s">
        <v>476</v>
      </c>
    </row>
    <row r="76">
      <c r="A76" s="1" t="s">
        <v>644</v>
      </c>
      <c r="B76" s="1">
        <v>21.0</v>
      </c>
      <c r="C76" s="1">
        <v>0.0</v>
      </c>
      <c r="D76" s="1" t="s">
        <v>96</v>
      </c>
      <c r="E76" s="1" t="s">
        <v>133</v>
      </c>
      <c r="J76" s="1" t="s">
        <v>18</v>
      </c>
      <c r="M76" s="36" t="s">
        <v>476</v>
      </c>
    </row>
    <row r="77">
      <c r="A77" s="1" t="s">
        <v>516</v>
      </c>
      <c r="B77" s="1">
        <v>23.0</v>
      </c>
      <c r="C77" s="1">
        <v>0.0</v>
      </c>
      <c r="D77" s="1" t="s">
        <v>96</v>
      </c>
      <c r="E77" s="1" t="s">
        <v>133</v>
      </c>
      <c r="J77" s="1" t="s">
        <v>39</v>
      </c>
      <c r="M77" s="36" t="s">
        <v>476</v>
      </c>
    </row>
    <row r="78">
      <c r="A78" s="1" t="s">
        <v>645</v>
      </c>
      <c r="B78" s="1">
        <v>23.0</v>
      </c>
      <c r="C78" s="1">
        <v>0.0</v>
      </c>
      <c r="D78" s="1" t="s">
        <v>96</v>
      </c>
      <c r="E78" s="1" t="s">
        <v>133</v>
      </c>
      <c r="J78" s="1" t="s">
        <v>18</v>
      </c>
      <c r="M78" s="36" t="s">
        <v>476</v>
      </c>
    </row>
    <row r="79">
      <c r="A79" s="1" t="s">
        <v>646</v>
      </c>
      <c r="B79" s="1">
        <v>23.0</v>
      </c>
      <c r="C79" s="1">
        <v>0.0</v>
      </c>
      <c r="D79" s="1" t="s">
        <v>96</v>
      </c>
      <c r="E79" s="1" t="s">
        <v>133</v>
      </c>
      <c r="J79" s="1" t="s">
        <v>34</v>
      </c>
      <c r="M79" s="36" t="s">
        <v>476</v>
      </c>
    </row>
    <row r="80">
      <c r="A80" s="1" t="s">
        <v>647</v>
      </c>
      <c r="B80" s="1">
        <v>23.0</v>
      </c>
      <c r="C80" s="1">
        <v>0.0</v>
      </c>
      <c r="D80" s="1" t="s">
        <v>96</v>
      </c>
      <c r="E80" s="1" t="s">
        <v>133</v>
      </c>
      <c r="J80" s="1" t="s">
        <v>34</v>
      </c>
      <c r="M80" s="38"/>
    </row>
    <row r="81">
      <c r="A81" s="1" t="s">
        <v>648</v>
      </c>
      <c r="B81" s="1">
        <v>23.0</v>
      </c>
      <c r="C81" s="1">
        <v>0.0</v>
      </c>
      <c r="D81" s="1" t="s">
        <v>96</v>
      </c>
      <c r="E81" s="1" t="s">
        <v>133</v>
      </c>
      <c r="J81" s="1" t="s">
        <v>34</v>
      </c>
      <c r="M81" s="38"/>
    </row>
    <row r="82">
      <c r="A82" s="1" t="s">
        <v>648</v>
      </c>
      <c r="B82" s="1">
        <v>23.0</v>
      </c>
      <c r="C82" s="1">
        <v>0.0</v>
      </c>
      <c r="D82" s="1" t="s">
        <v>96</v>
      </c>
      <c r="E82" s="1" t="s">
        <v>133</v>
      </c>
      <c r="J82" s="1" t="s">
        <v>34</v>
      </c>
      <c r="M82" s="38"/>
    </row>
    <row r="83">
      <c r="A83" s="1" t="s">
        <v>647</v>
      </c>
      <c r="B83" s="1">
        <v>23.0</v>
      </c>
      <c r="C83" s="1">
        <v>0.0</v>
      </c>
      <c r="D83" s="1" t="s">
        <v>96</v>
      </c>
      <c r="E83" s="1" t="s">
        <v>133</v>
      </c>
      <c r="J83" s="1" t="s">
        <v>34</v>
      </c>
      <c r="M83" s="38"/>
    </row>
    <row r="84">
      <c r="A84" s="1" t="s">
        <v>519</v>
      </c>
      <c r="B84" s="1">
        <v>23.0</v>
      </c>
      <c r="C84" s="1">
        <v>0.0</v>
      </c>
      <c r="D84" s="1" t="s">
        <v>96</v>
      </c>
      <c r="E84" s="1" t="s">
        <v>133</v>
      </c>
      <c r="J84" s="1" t="s">
        <v>29</v>
      </c>
      <c r="M84" s="38"/>
    </row>
    <row r="85">
      <c r="A85" s="1" t="s">
        <v>154</v>
      </c>
      <c r="B85" s="1">
        <v>24.0</v>
      </c>
      <c r="C85" s="1">
        <v>0.0</v>
      </c>
      <c r="D85" s="1" t="s">
        <v>96</v>
      </c>
      <c r="E85" s="1" t="s">
        <v>133</v>
      </c>
      <c r="J85" s="1" t="s">
        <v>39</v>
      </c>
      <c r="M85" s="38"/>
    </row>
    <row r="86">
      <c r="A86" s="1" t="s">
        <v>467</v>
      </c>
      <c r="B86" s="1">
        <v>25.0</v>
      </c>
      <c r="C86" s="1">
        <v>0.0</v>
      </c>
      <c r="D86" s="1" t="s">
        <v>96</v>
      </c>
      <c r="E86" s="1" t="s">
        <v>133</v>
      </c>
      <c r="J86" s="1" t="s">
        <v>34</v>
      </c>
      <c r="M86" s="38"/>
    </row>
    <row r="87">
      <c r="A87" s="1" t="s">
        <v>649</v>
      </c>
      <c r="B87" s="1">
        <v>26.0</v>
      </c>
      <c r="C87" s="1">
        <v>0.0</v>
      </c>
      <c r="D87" s="1" t="s">
        <v>96</v>
      </c>
      <c r="E87" s="1" t="s">
        <v>133</v>
      </c>
      <c r="J87" s="1" t="s">
        <v>34</v>
      </c>
      <c r="M87" s="38"/>
    </row>
    <row r="88">
      <c r="A88" s="1" t="s">
        <v>372</v>
      </c>
      <c r="B88" s="1">
        <v>26.0</v>
      </c>
      <c r="C88" s="1">
        <v>0.0</v>
      </c>
      <c r="D88" s="1" t="s">
        <v>96</v>
      </c>
      <c r="E88" s="1" t="s">
        <v>133</v>
      </c>
      <c r="J88" s="1" t="s">
        <v>20</v>
      </c>
      <c r="M88" s="38"/>
    </row>
    <row r="89">
      <c r="A89" s="1" t="s">
        <v>392</v>
      </c>
      <c r="B89" s="1">
        <v>0.0</v>
      </c>
      <c r="C89" s="1">
        <v>0.0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650</v>
      </c>
      <c r="B90" s="1">
        <v>0.0</v>
      </c>
      <c r="C90" s="1">
        <v>0.0</v>
      </c>
      <c r="D90" s="1" t="s">
        <v>96</v>
      </c>
      <c r="E90" s="1" t="s">
        <v>156</v>
      </c>
      <c r="J90" s="1" t="s">
        <v>29</v>
      </c>
      <c r="M90" s="38"/>
    </row>
    <row r="91">
      <c r="A91" s="1" t="s">
        <v>651</v>
      </c>
      <c r="B91" s="1">
        <v>0.0</v>
      </c>
      <c r="C91" s="1">
        <v>0.0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652</v>
      </c>
      <c r="B92" s="1">
        <v>0.0</v>
      </c>
      <c r="C92" s="1">
        <v>0.0</v>
      </c>
      <c r="D92" s="1" t="s">
        <v>96</v>
      </c>
      <c r="E92" s="1" t="s">
        <v>156</v>
      </c>
      <c r="J92" s="1" t="s">
        <v>42</v>
      </c>
      <c r="M92" s="38"/>
    </row>
    <row r="93">
      <c r="A93" s="1" t="s">
        <v>653</v>
      </c>
      <c r="B93" s="1">
        <v>0.0</v>
      </c>
      <c r="C93" s="1">
        <v>0.0</v>
      </c>
      <c r="D93" s="1" t="s">
        <v>96</v>
      </c>
      <c r="E93" s="1" t="s">
        <v>156</v>
      </c>
      <c r="J93" s="1" t="s">
        <v>42</v>
      </c>
      <c r="M93" s="38"/>
    </row>
    <row r="94">
      <c r="A94" s="1" t="s">
        <v>654</v>
      </c>
      <c r="B94" s="1">
        <v>0.0</v>
      </c>
      <c r="C94" s="1">
        <v>0.0</v>
      </c>
      <c r="D94" s="1" t="s">
        <v>96</v>
      </c>
      <c r="E94" s="1" t="s">
        <v>156</v>
      </c>
      <c r="J94" s="1" t="s">
        <v>28</v>
      </c>
      <c r="M94" s="38"/>
    </row>
    <row r="95">
      <c r="A95" s="1" t="s">
        <v>655</v>
      </c>
      <c r="B95" s="1">
        <v>0.0</v>
      </c>
      <c r="C95" s="1">
        <v>0.0</v>
      </c>
      <c r="D95" s="1" t="s">
        <v>96</v>
      </c>
      <c r="E95" s="1" t="s">
        <v>156</v>
      </c>
      <c r="J95" s="1" t="s">
        <v>21</v>
      </c>
      <c r="M95" s="38"/>
    </row>
    <row r="96">
      <c r="A96" s="1" t="s">
        <v>656</v>
      </c>
      <c r="B96" s="1">
        <v>0.0</v>
      </c>
      <c r="C96" s="1">
        <v>0.0</v>
      </c>
      <c r="D96" s="1" t="s">
        <v>96</v>
      </c>
      <c r="E96" s="1" t="s">
        <v>156</v>
      </c>
      <c r="J96" s="1" t="s">
        <v>28</v>
      </c>
      <c r="M96" s="38"/>
    </row>
    <row r="97">
      <c r="A97" s="1" t="s">
        <v>300</v>
      </c>
      <c r="B97" s="1">
        <v>0.0</v>
      </c>
      <c r="C97" s="1">
        <v>0.0</v>
      </c>
      <c r="D97" s="1" t="s">
        <v>96</v>
      </c>
      <c r="E97" s="1" t="s">
        <v>133</v>
      </c>
      <c r="J97" s="1" t="s">
        <v>29</v>
      </c>
      <c r="M97" s="38"/>
    </row>
    <row r="98">
      <c r="A98" s="1" t="s">
        <v>254</v>
      </c>
      <c r="B98" s="1">
        <v>0.0</v>
      </c>
      <c r="C98" s="1">
        <v>0.0</v>
      </c>
      <c r="D98" s="1" t="s">
        <v>96</v>
      </c>
      <c r="E98" s="1" t="s">
        <v>133</v>
      </c>
      <c r="J98" s="1" t="s">
        <v>15</v>
      </c>
      <c r="M98" s="38"/>
    </row>
    <row r="99">
      <c r="A99" s="1" t="s">
        <v>657</v>
      </c>
      <c r="B99" s="1">
        <v>0.0</v>
      </c>
      <c r="C99" s="1">
        <v>0.0</v>
      </c>
      <c r="D99" s="1" t="s">
        <v>96</v>
      </c>
      <c r="E99" s="1" t="s">
        <v>133</v>
      </c>
      <c r="J99" s="1" t="s">
        <v>31</v>
      </c>
      <c r="M99" s="38"/>
    </row>
    <row r="100">
      <c r="A100" s="1" t="s">
        <v>658</v>
      </c>
      <c r="B100" s="1">
        <v>0.0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444</v>
      </c>
      <c r="B101" s="1">
        <v>0.0</v>
      </c>
      <c r="C101" s="1">
        <v>0.0</v>
      </c>
      <c r="D101" s="1" t="s">
        <v>96</v>
      </c>
      <c r="E101" s="1" t="s">
        <v>133</v>
      </c>
      <c r="J101" s="1" t="s">
        <v>31</v>
      </c>
      <c r="M101" s="38"/>
    </row>
    <row r="102">
      <c r="A102" s="1"/>
      <c r="J102" s="14"/>
      <c r="M102" s="38"/>
    </row>
    <row r="103">
      <c r="A103" s="1" t="s">
        <v>236</v>
      </c>
      <c r="C103" s="1">
        <f>9167.28*0.3-(633.9)</f>
        <v>2116.284</v>
      </c>
      <c r="M103" s="38"/>
    </row>
    <row r="104">
      <c r="A104" s="1" t="s">
        <v>50</v>
      </c>
      <c r="C104" s="8">
        <f>SUM(C2:C101)</f>
        <v>3860.77</v>
      </c>
      <c r="D104" s="8">
        <f>(9167.28)-C104-C103</f>
        <v>3190.226</v>
      </c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6" t="s">
        <v>240</v>
      </c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B150" s="8"/>
      <c r="M150" s="38"/>
    </row>
    <row r="151">
      <c r="M151" s="38"/>
    </row>
    <row r="152">
      <c r="M152" s="38"/>
    </row>
    <row r="153">
      <c r="B153" s="8">
        <f>9167.28-B149</f>
        <v>5306.51</v>
      </c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</sheetData>
  <autoFilter ref="$A$1:$BV$17"/>
  <conditionalFormatting sqref="B153">
    <cfRule type="cellIs" dxfId="1" priority="1" operator="greaterThanOrEqual">
      <formula>0</formula>
    </cfRule>
  </conditionalFormatting>
  <conditionalFormatting sqref="B153">
    <cfRule type="cellIs" dxfId="2" priority="2" operator="lessThan">
      <formula>0</formula>
    </cfRule>
  </conditionalFormatting>
  <dataValidations>
    <dataValidation type="list" allowBlank="1" showErrorMessage="1" sqref="J2:J102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veicular,ferias,projetos"</formula1>
    </dataValidation>
  </dataValidation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695.0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1113.31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2" t="s">
        <v>106</v>
      </c>
      <c r="B5" s="2">
        <v>14.0</v>
      </c>
      <c r="C5" s="40">
        <v>696.36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129.0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100.46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65.0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757</v>
      </c>
      <c r="B23" s="1">
        <v>0.0</v>
      </c>
      <c r="C23" s="1">
        <v>20.97</v>
      </c>
      <c r="D23" s="1" t="s">
        <v>96</v>
      </c>
      <c r="E23" s="1" t="s">
        <v>105</v>
      </c>
      <c r="J23" s="1" t="s">
        <v>29</v>
      </c>
      <c r="M23" s="38"/>
    </row>
    <row r="24">
      <c r="A24" s="1" t="s">
        <v>516</v>
      </c>
      <c r="B24" s="1">
        <v>0.0</v>
      </c>
      <c r="C24" s="1">
        <v>11.98</v>
      </c>
      <c r="D24" s="1" t="s">
        <v>96</v>
      </c>
      <c r="E24" s="1" t="s">
        <v>105</v>
      </c>
      <c r="G24" s="1"/>
      <c r="J24" s="1" t="s">
        <v>25</v>
      </c>
      <c r="M24" s="38"/>
    </row>
    <row r="25">
      <c r="A25" s="1" t="s">
        <v>286</v>
      </c>
      <c r="B25" s="1">
        <v>0.0</v>
      </c>
      <c r="C25" s="1">
        <v>25.19</v>
      </c>
      <c r="D25" s="1" t="s">
        <v>96</v>
      </c>
      <c r="E25" s="1" t="s">
        <v>105</v>
      </c>
      <c r="G25" s="1"/>
      <c r="J25" s="1" t="s">
        <v>24</v>
      </c>
      <c r="M25" s="38"/>
    </row>
    <row r="26">
      <c r="A26" s="1" t="s">
        <v>289</v>
      </c>
      <c r="B26" s="1">
        <v>0.0</v>
      </c>
      <c r="C26" s="1">
        <v>50.2</v>
      </c>
      <c r="D26" s="1" t="s">
        <v>96</v>
      </c>
      <c r="E26" s="1" t="s">
        <v>105</v>
      </c>
      <c r="G26" s="1"/>
      <c r="J26" s="1" t="s">
        <v>18</v>
      </c>
      <c r="M26" s="38"/>
    </row>
    <row r="27">
      <c r="A27" s="1" t="s">
        <v>758</v>
      </c>
      <c r="B27" s="1">
        <v>0.0</v>
      </c>
      <c r="C27" s="1">
        <v>280.94</v>
      </c>
      <c r="D27" s="1" t="s">
        <v>96</v>
      </c>
      <c r="E27" s="1" t="s">
        <v>105</v>
      </c>
      <c r="G27" s="1"/>
      <c r="J27" s="1" t="s">
        <v>29</v>
      </c>
      <c r="M27" s="38"/>
    </row>
    <row r="28">
      <c r="A28" s="1" t="s">
        <v>263</v>
      </c>
      <c r="B28" s="1">
        <v>0.0</v>
      </c>
      <c r="C28" s="1">
        <v>226.77</v>
      </c>
      <c r="D28" s="1" t="s">
        <v>96</v>
      </c>
      <c r="E28" s="1" t="s">
        <v>133</v>
      </c>
      <c r="G28" s="1"/>
      <c r="J28" s="1" t="s">
        <v>28</v>
      </c>
      <c r="M28" s="38"/>
    </row>
    <row r="29">
      <c r="A29" s="1" t="s">
        <v>270</v>
      </c>
      <c r="B29" s="1">
        <v>0.0</v>
      </c>
      <c r="C29" s="1">
        <v>40.0</v>
      </c>
      <c r="D29" s="1" t="s">
        <v>96</v>
      </c>
      <c r="E29" s="1" t="s">
        <v>133</v>
      </c>
      <c r="G29" s="1"/>
      <c r="J29" s="1" t="s">
        <v>18</v>
      </c>
      <c r="M29" s="38"/>
    </row>
    <row r="30">
      <c r="A30" s="1" t="s">
        <v>759</v>
      </c>
      <c r="B30" s="1">
        <v>0.0</v>
      </c>
      <c r="C30" s="1">
        <v>30.0</v>
      </c>
      <c r="D30" s="1" t="s">
        <v>96</v>
      </c>
      <c r="E30" s="1" t="s">
        <v>133</v>
      </c>
      <c r="G30" s="1"/>
      <c r="J30" s="1" t="s">
        <v>32</v>
      </c>
      <c r="M30" s="38"/>
    </row>
    <row r="31">
      <c r="A31" s="1" t="s">
        <v>760</v>
      </c>
      <c r="B31" s="1">
        <v>0.0</v>
      </c>
      <c r="C31" s="1">
        <v>4.0</v>
      </c>
      <c r="D31" s="1" t="s">
        <v>96</v>
      </c>
      <c r="E31" s="1" t="s">
        <v>133</v>
      </c>
      <c r="G31" s="1"/>
      <c r="J31" s="1" t="s">
        <v>39</v>
      </c>
      <c r="M31" s="38"/>
    </row>
    <row r="32">
      <c r="A32" s="1" t="s">
        <v>761</v>
      </c>
      <c r="B32" s="1">
        <v>0.0</v>
      </c>
      <c r="C32" s="1">
        <v>4.0</v>
      </c>
      <c r="D32" s="1" t="s">
        <v>96</v>
      </c>
      <c r="E32" s="1" t="s">
        <v>133</v>
      </c>
      <c r="G32" s="1"/>
      <c r="J32" s="1" t="s">
        <v>39</v>
      </c>
      <c r="M32" s="38"/>
    </row>
    <row r="33">
      <c r="A33" s="1" t="s">
        <v>270</v>
      </c>
      <c r="B33" s="1">
        <v>0.0</v>
      </c>
      <c r="C33" s="1">
        <v>40.0</v>
      </c>
      <c r="D33" s="1" t="s">
        <v>96</v>
      </c>
      <c r="E33" s="1" t="s">
        <v>133</v>
      </c>
      <c r="G33" s="1"/>
      <c r="J33" s="1" t="s">
        <v>18</v>
      </c>
      <c r="M33" s="38"/>
    </row>
    <row r="34">
      <c r="A34" s="1" t="s">
        <v>333</v>
      </c>
      <c r="B34" s="1">
        <v>0.0</v>
      </c>
      <c r="C34" s="1">
        <v>20.0</v>
      </c>
      <c r="D34" s="1" t="s">
        <v>96</v>
      </c>
      <c r="E34" s="1" t="s">
        <v>133</v>
      </c>
      <c r="G34" s="1"/>
      <c r="J34" s="1" t="s">
        <v>32</v>
      </c>
      <c r="M34" s="38"/>
    </row>
    <row r="35">
      <c r="A35" s="1" t="s">
        <v>762</v>
      </c>
      <c r="B35" s="1">
        <v>0.0</v>
      </c>
      <c r="C35" s="1">
        <v>89.9</v>
      </c>
      <c r="D35" s="1" t="s">
        <v>96</v>
      </c>
      <c r="E35" s="1" t="s">
        <v>133</v>
      </c>
      <c r="G35" s="1"/>
      <c r="J35" s="1" t="s">
        <v>32</v>
      </c>
      <c r="M35" s="38"/>
    </row>
    <row r="36">
      <c r="A36" s="1" t="s">
        <v>763</v>
      </c>
      <c r="B36" s="1">
        <v>2.0</v>
      </c>
      <c r="C36" s="1">
        <v>50.0</v>
      </c>
      <c r="D36" s="1" t="s">
        <v>96</v>
      </c>
      <c r="E36" s="1" t="s">
        <v>133</v>
      </c>
      <c r="G36" s="1"/>
      <c r="J36" s="1" t="s">
        <v>18</v>
      </c>
      <c r="M36" s="38"/>
    </row>
    <row r="37">
      <c r="A37" s="1" t="s">
        <v>154</v>
      </c>
      <c r="B37" s="1">
        <v>3.0</v>
      </c>
      <c r="C37" s="1">
        <v>4.0</v>
      </c>
      <c r="D37" s="1" t="s">
        <v>96</v>
      </c>
      <c r="E37" s="1" t="s">
        <v>133</v>
      </c>
      <c r="G37" s="1"/>
      <c r="J37" s="1" t="s">
        <v>39</v>
      </c>
      <c r="M37" s="36" t="s">
        <v>43</v>
      </c>
    </row>
    <row r="38">
      <c r="A38" s="1" t="s">
        <v>271</v>
      </c>
      <c r="B38" s="1">
        <v>3.0</v>
      </c>
      <c r="C38" s="1">
        <v>71.35</v>
      </c>
      <c r="D38" s="1" t="s">
        <v>96</v>
      </c>
      <c r="E38" s="1" t="s">
        <v>133</v>
      </c>
      <c r="G38" s="1"/>
      <c r="J38" s="1" t="s">
        <v>29</v>
      </c>
      <c r="M38" s="38"/>
    </row>
    <row r="39">
      <c r="A39" s="1" t="s">
        <v>270</v>
      </c>
      <c r="B39" s="1">
        <v>3.0</v>
      </c>
      <c r="C39" s="1">
        <v>50.0</v>
      </c>
      <c r="D39" s="1" t="s">
        <v>96</v>
      </c>
      <c r="E39" s="1" t="s">
        <v>133</v>
      </c>
      <c r="G39" s="1"/>
      <c r="J39" s="1" t="s">
        <v>18</v>
      </c>
      <c r="M39" s="38"/>
    </row>
    <row r="40">
      <c r="A40" s="1" t="s">
        <v>764</v>
      </c>
      <c r="B40" s="1">
        <v>4.0</v>
      </c>
      <c r="C40" s="1">
        <v>45.8</v>
      </c>
      <c r="D40" s="1" t="s">
        <v>96</v>
      </c>
      <c r="E40" s="1" t="s">
        <v>133</v>
      </c>
      <c r="G40" s="1"/>
      <c r="J40" s="1" t="s">
        <v>29</v>
      </c>
      <c r="M40" s="38"/>
    </row>
    <row r="41">
      <c r="A41" s="1" t="s">
        <v>248</v>
      </c>
      <c r="B41" s="1">
        <v>5.0</v>
      </c>
      <c r="C41" s="1">
        <v>9.0</v>
      </c>
      <c r="D41" s="1" t="s">
        <v>96</v>
      </c>
      <c r="E41" s="1" t="s">
        <v>133</v>
      </c>
      <c r="G41" s="1"/>
      <c r="J41" s="1" t="s">
        <v>34</v>
      </c>
      <c r="L41" s="42">
        <v>45323.0</v>
      </c>
      <c r="M41" s="38"/>
    </row>
    <row r="42">
      <c r="A42" s="1" t="s">
        <v>765</v>
      </c>
      <c r="B42" s="1">
        <v>5.0</v>
      </c>
      <c r="C42" s="1">
        <v>12.6</v>
      </c>
      <c r="D42" s="1" t="s">
        <v>96</v>
      </c>
      <c r="E42" s="1" t="s">
        <v>133</v>
      </c>
      <c r="G42" s="1"/>
      <c r="J42" s="1" t="s">
        <v>24</v>
      </c>
      <c r="M42" s="38"/>
    </row>
    <row r="43">
      <c r="A43" s="1" t="s">
        <v>154</v>
      </c>
      <c r="B43" s="1">
        <v>6.0</v>
      </c>
      <c r="C43" s="1">
        <v>4.0</v>
      </c>
      <c r="D43" s="1" t="s">
        <v>96</v>
      </c>
      <c r="E43" s="1" t="s">
        <v>133</v>
      </c>
      <c r="G43" s="1"/>
      <c r="J43" s="1" t="s">
        <v>39</v>
      </c>
      <c r="M43" s="38"/>
    </row>
    <row r="44">
      <c r="A44" s="1" t="s">
        <v>766</v>
      </c>
      <c r="B44" s="1">
        <v>6.0</v>
      </c>
      <c r="C44" s="1">
        <v>8.0</v>
      </c>
      <c r="D44" s="1" t="s">
        <v>96</v>
      </c>
      <c r="E44" s="1" t="s">
        <v>133</v>
      </c>
      <c r="G44" s="1"/>
      <c r="J44" s="1" t="s">
        <v>34</v>
      </c>
      <c r="M44" s="38"/>
    </row>
    <row r="45">
      <c r="A45" s="1" t="s">
        <v>767</v>
      </c>
      <c r="B45" s="1">
        <v>6.0</v>
      </c>
      <c r="C45" s="1">
        <v>30.0</v>
      </c>
      <c r="D45" s="1" t="s">
        <v>96</v>
      </c>
      <c r="E45" s="1" t="s">
        <v>133</v>
      </c>
      <c r="G45" s="1"/>
      <c r="J45" s="1" t="s">
        <v>18</v>
      </c>
      <c r="M45" s="38"/>
    </row>
    <row r="46">
      <c r="A46" s="1" t="s">
        <v>758</v>
      </c>
      <c r="B46" s="1">
        <v>8.0</v>
      </c>
      <c r="C46" s="1">
        <v>102.25</v>
      </c>
      <c r="D46" s="1" t="s">
        <v>96</v>
      </c>
      <c r="E46" s="1" t="s">
        <v>133</v>
      </c>
      <c r="G46" s="1"/>
      <c r="J46" s="1" t="s">
        <v>29</v>
      </c>
      <c r="M46" s="38"/>
    </row>
    <row r="47">
      <c r="A47" s="1" t="s">
        <v>270</v>
      </c>
      <c r="B47" s="1">
        <v>9.0</v>
      </c>
      <c r="C47" s="1">
        <v>30.0</v>
      </c>
      <c r="D47" s="1" t="s">
        <v>96</v>
      </c>
      <c r="E47" s="1" t="s">
        <v>133</v>
      </c>
      <c r="G47" s="1"/>
      <c r="J47" s="1" t="s">
        <v>18</v>
      </c>
      <c r="M47" s="38"/>
    </row>
    <row r="48">
      <c r="A48" s="1" t="s">
        <v>270</v>
      </c>
      <c r="B48" s="1">
        <v>9.0</v>
      </c>
      <c r="C48" s="1">
        <v>50.0</v>
      </c>
      <c r="D48" s="1" t="s">
        <v>96</v>
      </c>
      <c r="E48" s="1" t="s">
        <v>133</v>
      </c>
      <c r="G48" s="1"/>
      <c r="J48" s="1" t="s">
        <v>18</v>
      </c>
      <c r="M48" s="38"/>
    </row>
    <row r="49">
      <c r="A49" s="1" t="s">
        <v>768</v>
      </c>
      <c r="B49" s="1">
        <v>11.0</v>
      </c>
      <c r="C49" s="1">
        <v>8.0</v>
      </c>
      <c r="D49" s="1" t="s">
        <v>96</v>
      </c>
      <c r="E49" s="1" t="s">
        <v>133</v>
      </c>
      <c r="G49" s="1"/>
      <c r="J49" s="1" t="s">
        <v>20</v>
      </c>
      <c r="M49" s="38"/>
    </row>
    <row r="50">
      <c r="A50" s="1" t="s">
        <v>769</v>
      </c>
      <c r="B50" s="1">
        <v>11.0</v>
      </c>
      <c r="C50" s="1">
        <v>49.9</v>
      </c>
      <c r="D50" s="1" t="s">
        <v>96</v>
      </c>
      <c r="E50" s="1" t="s">
        <v>133</v>
      </c>
      <c r="G50" s="1"/>
      <c r="J50" s="1" t="s">
        <v>15</v>
      </c>
      <c r="M50" s="38"/>
    </row>
    <row r="51">
      <c r="A51" s="1" t="s">
        <v>765</v>
      </c>
      <c r="B51" s="1">
        <v>11.0</v>
      </c>
      <c r="C51" s="1">
        <v>5.1</v>
      </c>
      <c r="D51" s="1" t="s">
        <v>96</v>
      </c>
      <c r="E51" s="1" t="s">
        <v>133</v>
      </c>
      <c r="G51" s="1"/>
      <c r="J51" s="1" t="s">
        <v>24</v>
      </c>
      <c r="M51" s="38"/>
    </row>
    <row r="52">
      <c r="A52" s="1" t="s">
        <v>770</v>
      </c>
      <c r="B52" s="1">
        <v>11.0</v>
      </c>
      <c r="C52" s="1">
        <v>22.25</v>
      </c>
      <c r="D52" s="1" t="s">
        <v>96</v>
      </c>
      <c r="E52" s="1" t="s">
        <v>133</v>
      </c>
      <c r="G52" s="1"/>
      <c r="J52" s="1" t="s">
        <v>24</v>
      </c>
      <c r="M52" s="38"/>
    </row>
    <row r="53">
      <c r="A53" s="1" t="s">
        <v>154</v>
      </c>
      <c r="B53" s="1">
        <v>11.0</v>
      </c>
      <c r="C53" s="1">
        <v>9.0</v>
      </c>
      <c r="D53" s="1" t="s">
        <v>96</v>
      </c>
      <c r="E53" s="1" t="s">
        <v>133</v>
      </c>
      <c r="G53" s="1"/>
      <c r="J53" s="1" t="s">
        <v>39</v>
      </c>
      <c r="M53" s="38"/>
    </row>
    <row r="54">
      <c r="A54" s="1" t="s">
        <v>392</v>
      </c>
      <c r="B54" s="1">
        <v>11.0</v>
      </c>
      <c r="C54" s="1">
        <v>26.0</v>
      </c>
      <c r="D54" s="1" t="s">
        <v>96</v>
      </c>
      <c r="E54" s="1" t="s">
        <v>133</v>
      </c>
      <c r="G54" s="1"/>
      <c r="J54" s="1" t="s">
        <v>24</v>
      </c>
      <c r="M54" s="38"/>
    </row>
    <row r="55">
      <c r="A55" s="1" t="s">
        <v>771</v>
      </c>
      <c r="B55" s="1">
        <v>11.0</v>
      </c>
      <c r="C55" s="1">
        <v>128.96</v>
      </c>
      <c r="D55" s="1" t="s">
        <v>96</v>
      </c>
      <c r="E55" s="1" t="s">
        <v>133</v>
      </c>
      <c r="G55" s="1"/>
      <c r="J55" s="1" t="s">
        <v>31</v>
      </c>
      <c r="M55" s="38"/>
    </row>
    <row r="56">
      <c r="A56" s="1" t="s">
        <v>772</v>
      </c>
      <c r="B56" s="1">
        <v>11.0</v>
      </c>
      <c r="C56" s="1">
        <v>30.9</v>
      </c>
      <c r="D56" s="1" t="s">
        <v>96</v>
      </c>
      <c r="E56" s="1" t="s">
        <v>133</v>
      </c>
      <c r="G56" s="1"/>
      <c r="J56" s="1" t="s">
        <v>34</v>
      </c>
      <c r="M56" s="38"/>
    </row>
    <row r="57">
      <c r="A57" s="1" t="s">
        <v>773</v>
      </c>
      <c r="B57" s="1">
        <v>11.0</v>
      </c>
      <c r="C57" s="1">
        <v>62.8</v>
      </c>
      <c r="D57" s="1" t="s">
        <v>96</v>
      </c>
      <c r="E57" s="1" t="s">
        <v>133</v>
      </c>
      <c r="G57" s="1"/>
      <c r="J57" s="1" t="s">
        <v>34</v>
      </c>
      <c r="M57" s="38"/>
    </row>
    <row r="58">
      <c r="A58" s="1" t="s">
        <v>300</v>
      </c>
      <c r="B58" s="1">
        <v>11.0</v>
      </c>
      <c r="C58" s="1">
        <v>21.75</v>
      </c>
      <c r="D58" s="1" t="s">
        <v>96</v>
      </c>
      <c r="E58" s="1" t="s">
        <v>133</v>
      </c>
      <c r="G58" s="1"/>
      <c r="J58" s="1" t="s">
        <v>29</v>
      </c>
      <c r="M58" s="38"/>
    </row>
    <row r="59">
      <c r="A59" s="1" t="s">
        <v>419</v>
      </c>
      <c r="B59" s="1">
        <v>11.0</v>
      </c>
      <c r="C59" s="1">
        <v>34.8</v>
      </c>
      <c r="D59" s="1" t="s">
        <v>96</v>
      </c>
      <c r="E59" s="1" t="s">
        <v>133</v>
      </c>
      <c r="G59" s="1"/>
      <c r="J59" s="1" t="s">
        <v>29</v>
      </c>
      <c r="M59" s="38"/>
    </row>
    <row r="60">
      <c r="A60" s="1" t="s">
        <v>774</v>
      </c>
      <c r="B60" s="1">
        <v>12.0</v>
      </c>
      <c r="C60" s="1">
        <v>108.94</v>
      </c>
      <c r="D60" s="1" t="s">
        <v>96</v>
      </c>
      <c r="E60" s="1" t="s">
        <v>133</v>
      </c>
      <c r="G60" s="1"/>
      <c r="J60" s="1" t="s">
        <v>29</v>
      </c>
      <c r="M60" s="38"/>
    </row>
    <row r="61">
      <c r="A61" s="1" t="s">
        <v>742</v>
      </c>
      <c r="B61" s="1">
        <v>12.0</v>
      </c>
      <c r="C61" s="1">
        <v>38.23</v>
      </c>
      <c r="D61" s="1" t="s">
        <v>96</v>
      </c>
      <c r="E61" s="1" t="s">
        <v>133</v>
      </c>
      <c r="G61" s="1"/>
      <c r="J61" s="1" t="s">
        <v>24</v>
      </c>
      <c r="M61" s="38"/>
    </row>
    <row r="62">
      <c r="A62" s="1" t="s">
        <v>516</v>
      </c>
      <c r="B62" s="1">
        <v>14.0</v>
      </c>
      <c r="C62" s="1">
        <v>22.19</v>
      </c>
      <c r="D62" s="1" t="s">
        <v>96</v>
      </c>
      <c r="E62" s="1" t="s">
        <v>133</v>
      </c>
      <c r="G62" s="1"/>
      <c r="J62" s="1" t="s">
        <v>25</v>
      </c>
      <c r="M62" s="38"/>
    </row>
    <row r="63">
      <c r="A63" s="1" t="s">
        <v>467</v>
      </c>
      <c r="B63" s="1">
        <v>14.0</v>
      </c>
      <c r="C63" s="1">
        <v>50.0</v>
      </c>
      <c r="D63" s="1" t="s">
        <v>96</v>
      </c>
      <c r="E63" s="1" t="s">
        <v>133</v>
      </c>
      <c r="G63" s="1"/>
      <c r="J63" s="1" t="s">
        <v>18</v>
      </c>
      <c r="M63" s="36" t="s">
        <v>476</v>
      </c>
    </row>
    <row r="64">
      <c r="A64" s="1" t="s">
        <v>676</v>
      </c>
      <c r="B64" s="1">
        <v>16.0</v>
      </c>
      <c r="C64" s="1">
        <v>20.0</v>
      </c>
      <c r="D64" s="1" t="s">
        <v>96</v>
      </c>
      <c r="E64" s="1" t="s">
        <v>133</v>
      </c>
      <c r="G64" s="1"/>
      <c r="J64" s="1" t="s">
        <v>32</v>
      </c>
      <c r="L64" s="42">
        <v>45323.0</v>
      </c>
      <c r="M64" s="36" t="s">
        <v>476</v>
      </c>
    </row>
    <row r="65">
      <c r="A65" s="1" t="s">
        <v>775</v>
      </c>
      <c r="B65" s="1">
        <v>16.0</v>
      </c>
      <c r="C65" s="1">
        <v>223.29</v>
      </c>
      <c r="D65" s="1" t="s">
        <v>96</v>
      </c>
      <c r="E65" s="1" t="s">
        <v>133</v>
      </c>
      <c r="G65" s="1"/>
      <c r="J65" s="1" t="s">
        <v>29</v>
      </c>
      <c r="M65" s="36" t="s">
        <v>476</v>
      </c>
    </row>
    <row r="66">
      <c r="A66" s="1" t="s">
        <v>776</v>
      </c>
      <c r="B66" s="1">
        <v>17.0</v>
      </c>
      <c r="C66" s="1">
        <v>7.26</v>
      </c>
      <c r="D66" s="1" t="s">
        <v>96</v>
      </c>
      <c r="E66" s="1" t="s">
        <v>133</v>
      </c>
      <c r="J66" s="1" t="s">
        <v>41</v>
      </c>
      <c r="M66" s="36" t="s">
        <v>476</v>
      </c>
    </row>
    <row r="67">
      <c r="A67" s="1" t="s">
        <v>154</v>
      </c>
      <c r="B67" s="1">
        <v>17.0</v>
      </c>
      <c r="C67" s="1">
        <v>9.0</v>
      </c>
      <c r="D67" s="1" t="s">
        <v>96</v>
      </c>
      <c r="E67" s="1" t="s">
        <v>133</v>
      </c>
      <c r="J67" s="1" t="s">
        <v>39</v>
      </c>
      <c r="M67" s="36" t="s">
        <v>476</v>
      </c>
    </row>
    <row r="68">
      <c r="A68" s="1" t="s">
        <v>621</v>
      </c>
      <c r="B68" s="1">
        <v>17.0</v>
      </c>
      <c r="C68" s="1">
        <v>25.0</v>
      </c>
      <c r="D68" s="1" t="s">
        <v>96</v>
      </c>
      <c r="E68" s="1" t="s">
        <v>117</v>
      </c>
      <c r="J68" s="1" t="s">
        <v>34</v>
      </c>
      <c r="M68" s="36" t="s">
        <v>476</v>
      </c>
    </row>
    <row r="69">
      <c r="A69" s="1" t="s">
        <v>483</v>
      </c>
      <c r="B69" s="1">
        <v>17.0</v>
      </c>
      <c r="C69" s="1">
        <v>39.8</v>
      </c>
      <c r="D69" s="1" t="s">
        <v>96</v>
      </c>
      <c r="E69" s="1" t="s">
        <v>133</v>
      </c>
      <c r="J69" s="1" t="s">
        <v>29</v>
      </c>
      <c r="M69" s="36" t="s">
        <v>476</v>
      </c>
    </row>
    <row r="70">
      <c r="A70" s="1" t="s">
        <v>777</v>
      </c>
      <c r="B70" s="1">
        <v>17.0</v>
      </c>
      <c r="C70" s="1">
        <v>24.99</v>
      </c>
      <c r="D70" s="1" t="s">
        <v>96</v>
      </c>
      <c r="E70" s="1" t="s">
        <v>133</v>
      </c>
      <c r="J70" s="1" t="s">
        <v>41</v>
      </c>
      <c r="M70" s="36" t="s">
        <v>476</v>
      </c>
    </row>
    <row r="71">
      <c r="A71" s="1" t="s">
        <v>560</v>
      </c>
      <c r="B71" s="1">
        <v>19.0</v>
      </c>
      <c r="C71" s="1">
        <v>9.0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34</v>
      </c>
      <c r="K71" s="42">
        <v>44959.0</v>
      </c>
      <c r="M71" s="36" t="s">
        <v>476</v>
      </c>
    </row>
    <row r="72">
      <c r="A72" s="1" t="s">
        <v>154</v>
      </c>
      <c r="B72" s="1">
        <v>19.0</v>
      </c>
      <c r="C72" s="1">
        <v>4.0</v>
      </c>
      <c r="D72" s="1" t="s">
        <v>96</v>
      </c>
      <c r="E72" s="1" t="s">
        <v>133</v>
      </c>
      <c r="J72" s="1" t="s">
        <v>39</v>
      </c>
      <c r="M72" s="36" t="s">
        <v>476</v>
      </c>
    </row>
    <row r="73">
      <c r="A73" s="1" t="s">
        <v>467</v>
      </c>
      <c r="B73" s="1">
        <v>20.0</v>
      </c>
      <c r="C73" s="1">
        <v>50.0</v>
      </c>
      <c r="D73" s="1" t="s">
        <v>96</v>
      </c>
      <c r="E73" s="1" t="s">
        <v>133</v>
      </c>
      <c r="J73" s="1" t="s">
        <v>18</v>
      </c>
      <c r="M73" s="36" t="s">
        <v>476</v>
      </c>
    </row>
    <row r="74">
      <c r="A74" s="1" t="s">
        <v>519</v>
      </c>
      <c r="B74" s="1">
        <v>20.0</v>
      </c>
      <c r="C74" s="1">
        <v>254.51</v>
      </c>
      <c r="D74" s="1" t="s">
        <v>96</v>
      </c>
      <c r="E74" s="1" t="s">
        <v>133</v>
      </c>
      <c r="J74" s="1" t="s">
        <v>29</v>
      </c>
      <c r="M74" s="36" t="s">
        <v>476</v>
      </c>
    </row>
    <row r="75">
      <c r="A75" s="1" t="s">
        <v>263</v>
      </c>
      <c r="B75" s="1">
        <v>21.0</v>
      </c>
      <c r="C75" s="1">
        <v>107.9</v>
      </c>
      <c r="D75" s="1" t="s">
        <v>96</v>
      </c>
      <c r="E75" s="1" t="s">
        <v>133</v>
      </c>
      <c r="J75" s="1" t="s">
        <v>28</v>
      </c>
      <c r="M75" s="36" t="s">
        <v>476</v>
      </c>
    </row>
    <row r="76">
      <c r="A76" s="1" t="s">
        <v>778</v>
      </c>
      <c r="B76" s="1">
        <v>22.0</v>
      </c>
      <c r="C76" s="1">
        <v>42.68</v>
      </c>
      <c r="D76" s="1" t="s">
        <v>96</v>
      </c>
      <c r="E76" s="1" t="s">
        <v>133</v>
      </c>
      <c r="J76" s="1" t="s">
        <v>32</v>
      </c>
      <c r="M76" s="36" t="s">
        <v>476</v>
      </c>
    </row>
    <row r="77">
      <c r="A77" s="1" t="s">
        <v>154</v>
      </c>
      <c r="B77" s="1">
        <v>24.0</v>
      </c>
      <c r="C77" s="1">
        <v>4.0</v>
      </c>
      <c r="D77" s="1" t="s">
        <v>96</v>
      </c>
      <c r="E77" s="1" t="s">
        <v>133</v>
      </c>
      <c r="J77" s="1" t="s">
        <v>39</v>
      </c>
      <c r="M77" s="36" t="s">
        <v>476</v>
      </c>
    </row>
    <row r="78">
      <c r="A78" s="1" t="s">
        <v>644</v>
      </c>
      <c r="B78" s="1">
        <v>24.0</v>
      </c>
      <c r="C78" s="1">
        <v>46.86</v>
      </c>
      <c r="D78" s="1" t="s">
        <v>96</v>
      </c>
      <c r="E78" s="1" t="s">
        <v>133</v>
      </c>
      <c r="J78" s="1" t="s">
        <v>18</v>
      </c>
      <c r="M78" s="36" t="s">
        <v>476</v>
      </c>
    </row>
    <row r="79">
      <c r="A79" s="1" t="s">
        <v>392</v>
      </c>
      <c r="B79" s="1">
        <v>24.0</v>
      </c>
      <c r="C79" s="1">
        <v>32.15</v>
      </c>
      <c r="D79" s="1" t="s">
        <v>96</v>
      </c>
      <c r="E79" s="1" t="s">
        <v>133</v>
      </c>
      <c r="J79" s="1" t="s">
        <v>24</v>
      </c>
      <c r="M79" s="36" t="s">
        <v>476</v>
      </c>
    </row>
    <row r="80">
      <c r="A80" s="1" t="s">
        <v>392</v>
      </c>
      <c r="B80" s="1">
        <v>25.0</v>
      </c>
      <c r="C80" s="1">
        <v>7.6</v>
      </c>
      <c r="D80" s="1" t="s">
        <v>96</v>
      </c>
      <c r="E80" s="1" t="s">
        <v>133</v>
      </c>
      <c r="J80" s="1" t="s">
        <v>24</v>
      </c>
      <c r="M80" s="38"/>
    </row>
    <row r="81">
      <c r="A81" s="1" t="s">
        <v>642</v>
      </c>
      <c r="B81" s="1">
        <v>25.0</v>
      </c>
      <c r="C81" s="1">
        <v>69.84</v>
      </c>
      <c r="D81" s="1" t="s">
        <v>96</v>
      </c>
      <c r="E81" s="1" t="s">
        <v>133</v>
      </c>
      <c r="J81" s="1" t="s">
        <v>29</v>
      </c>
      <c r="M81" s="38"/>
    </row>
    <row r="82">
      <c r="A82" s="1" t="s">
        <v>640</v>
      </c>
      <c r="B82" s="1">
        <v>25.0</v>
      </c>
      <c r="C82" s="1">
        <v>29.97</v>
      </c>
      <c r="D82" s="1" t="s">
        <v>96</v>
      </c>
      <c r="E82" s="1" t="s">
        <v>133</v>
      </c>
      <c r="J82" s="1" t="s">
        <v>29</v>
      </c>
      <c r="M82" s="38"/>
    </row>
    <row r="83">
      <c r="A83" s="1" t="s">
        <v>779</v>
      </c>
      <c r="B83" s="1">
        <v>25.0</v>
      </c>
      <c r="C83" s="1">
        <v>48.33</v>
      </c>
      <c r="D83" s="1" t="s">
        <v>96</v>
      </c>
      <c r="E83" s="1" t="s">
        <v>133</v>
      </c>
      <c r="J83" s="1" t="s">
        <v>29</v>
      </c>
      <c r="M83" s="38"/>
    </row>
    <row r="84">
      <c r="A84" s="1" t="s">
        <v>519</v>
      </c>
      <c r="B84" s="1">
        <v>25.0</v>
      </c>
      <c r="C84" s="1">
        <v>120.82</v>
      </c>
      <c r="D84" s="1" t="s">
        <v>96</v>
      </c>
      <c r="E84" s="1" t="s">
        <v>133</v>
      </c>
      <c r="J84" s="1" t="s">
        <v>29</v>
      </c>
      <c r="M84" s="38"/>
    </row>
    <row r="85">
      <c r="A85" s="1" t="s">
        <v>467</v>
      </c>
      <c r="B85" s="1">
        <v>25.0</v>
      </c>
      <c r="C85" s="1">
        <v>9.0</v>
      </c>
      <c r="D85" s="1" t="s">
        <v>96</v>
      </c>
      <c r="E85" s="1" t="s">
        <v>133</v>
      </c>
      <c r="J85" s="1" t="s">
        <v>18</v>
      </c>
      <c r="M85" s="38"/>
    </row>
    <row r="86">
      <c r="A86" s="1" t="s">
        <v>467</v>
      </c>
      <c r="B86" s="1">
        <v>25.0</v>
      </c>
      <c r="C86" s="1">
        <v>72.71</v>
      </c>
      <c r="D86" s="1" t="s">
        <v>96</v>
      </c>
      <c r="E86" s="1" t="s">
        <v>133</v>
      </c>
      <c r="J86" s="1" t="s">
        <v>18</v>
      </c>
      <c r="M86" s="38"/>
    </row>
    <row r="87">
      <c r="A87" s="1" t="s">
        <v>649</v>
      </c>
      <c r="B87" s="1">
        <v>26.0</v>
      </c>
      <c r="C87" s="1">
        <v>257.72</v>
      </c>
      <c r="D87" s="1" t="s">
        <v>96</v>
      </c>
      <c r="E87" s="1" t="s">
        <v>133</v>
      </c>
      <c r="J87" s="1" t="s">
        <v>31</v>
      </c>
      <c r="M87" s="38"/>
    </row>
    <row r="88">
      <c r="A88" s="1" t="s">
        <v>372</v>
      </c>
      <c r="B88" s="1">
        <v>26.0</v>
      </c>
      <c r="C88" s="1">
        <v>591.51</v>
      </c>
      <c r="D88" s="1" t="s">
        <v>96</v>
      </c>
      <c r="E88" s="1" t="s">
        <v>133</v>
      </c>
      <c r="J88" s="1" t="s">
        <v>44</v>
      </c>
      <c r="M88" s="38"/>
    </row>
    <row r="89">
      <c r="A89" s="1" t="s">
        <v>233</v>
      </c>
      <c r="B89" s="1">
        <v>2.0</v>
      </c>
      <c r="C89" s="1">
        <v>358.18</v>
      </c>
      <c r="D89" s="1" t="s">
        <v>96</v>
      </c>
      <c r="E89" s="1" t="s">
        <v>133</v>
      </c>
      <c r="J89" s="1" t="s">
        <v>28</v>
      </c>
      <c r="M89" s="38"/>
    </row>
    <row r="90">
      <c r="A90" s="1" t="s">
        <v>462</v>
      </c>
      <c r="B90" s="1">
        <v>1.0</v>
      </c>
      <c r="C90" s="1">
        <v>109.99</v>
      </c>
      <c r="D90" s="1" t="s">
        <v>96</v>
      </c>
      <c r="E90" s="1" t="s">
        <v>117</v>
      </c>
      <c r="J90" s="1" t="s">
        <v>41</v>
      </c>
      <c r="M90" s="38"/>
    </row>
    <row r="91">
      <c r="A91" s="1" t="s">
        <v>462</v>
      </c>
      <c r="B91" s="1">
        <v>1.0</v>
      </c>
      <c r="C91" s="1">
        <v>183.9</v>
      </c>
      <c r="D91" s="1" t="s">
        <v>96</v>
      </c>
      <c r="E91" s="1" t="s">
        <v>117</v>
      </c>
      <c r="J91" s="1" t="s">
        <v>41</v>
      </c>
      <c r="M91" s="38"/>
    </row>
    <row r="92">
      <c r="A92" s="1" t="s">
        <v>233</v>
      </c>
      <c r="B92" s="1">
        <v>5.0</v>
      </c>
      <c r="C92" s="1">
        <v>772.82</v>
      </c>
      <c r="D92" s="1" t="s">
        <v>96</v>
      </c>
      <c r="E92" s="1" t="s">
        <v>117</v>
      </c>
      <c r="J92" s="1" t="s">
        <v>28</v>
      </c>
      <c r="M92" s="38"/>
    </row>
    <row r="93">
      <c r="A93" s="1" t="s">
        <v>780</v>
      </c>
      <c r="B93" s="1">
        <v>2.0</v>
      </c>
      <c r="C93" s="1">
        <v>52.55</v>
      </c>
      <c r="D93" s="1" t="s">
        <v>96</v>
      </c>
      <c r="E93" s="1" t="s">
        <v>117</v>
      </c>
      <c r="J93" s="1" t="s">
        <v>32</v>
      </c>
      <c r="M93" s="38"/>
    </row>
    <row r="94">
      <c r="A94" s="1" t="s">
        <v>781</v>
      </c>
      <c r="B94" s="1">
        <v>2.0</v>
      </c>
      <c r="C94" s="1">
        <v>2.3</v>
      </c>
      <c r="D94" s="1" t="s">
        <v>96</v>
      </c>
      <c r="E94" s="1" t="s">
        <v>117</v>
      </c>
      <c r="J94" s="1" t="s">
        <v>32</v>
      </c>
      <c r="M94" s="38"/>
    </row>
    <row r="95">
      <c r="B95" s="1">
        <v>0.0</v>
      </c>
      <c r="C95" s="1">
        <v>0.0</v>
      </c>
      <c r="D95" s="1" t="s">
        <v>96</v>
      </c>
      <c r="E95" s="1" t="s">
        <v>156</v>
      </c>
      <c r="J95" s="1" t="s">
        <v>21</v>
      </c>
      <c r="M95" s="38"/>
    </row>
    <row r="96">
      <c r="B96" s="1">
        <v>0.0</v>
      </c>
      <c r="C96" s="1">
        <v>0.0</v>
      </c>
      <c r="D96" s="1" t="s">
        <v>96</v>
      </c>
      <c r="E96" s="1" t="s">
        <v>156</v>
      </c>
      <c r="J96" s="1" t="s">
        <v>28</v>
      </c>
      <c r="M96" s="38"/>
    </row>
    <row r="97">
      <c r="B97" s="1">
        <v>0.0</v>
      </c>
      <c r="C97" s="1">
        <v>0.0</v>
      </c>
      <c r="D97" s="1" t="s">
        <v>96</v>
      </c>
      <c r="E97" s="1" t="s">
        <v>133</v>
      </c>
      <c r="J97" s="1" t="s">
        <v>29</v>
      </c>
      <c r="M97" s="38"/>
    </row>
    <row r="98">
      <c r="B98" s="1">
        <v>0.0</v>
      </c>
      <c r="C98" s="1">
        <v>0.0</v>
      </c>
      <c r="D98" s="1" t="s">
        <v>96</v>
      </c>
      <c r="E98" s="1" t="s">
        <v>133</v>
      </c>
      <c r="J98" s="1" t="s">
        <v>15</v>
      </c>
      <c r="M98" s="38"/>
    </row>
    <row r="99">
      <c r="B99" s="1">
        <v>0.0</v>
      </c>
      <c r="C99" s="1">
        <v>0.0</v>
      </c>
      <c r="D99" s="1" t="s">
        <v>96</v>
      </c>
      <c r="E99" s="1" t="s">
        <v>133</v>
      </c>
      <c r="J99" s="1" t="s">
        <v>31</v>
      </c>
      <c r="M99" s="38"/>
    </row>
    <row r="100">
      <c r="B100" s="1">
        <v>0.0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B101" s="1">
        <v>0.0</v>
      </c>
      <c r="C101" s="1">
        <v>0.0</v>
      </c>
      <c r="D101" s="1" t="s">
        <v>96</v>
      </c>
      <c r="E101" s="1" t="s">
        <v>133</v>
      </c>
      <c r="J101" s="1" t="s">
        <v>31</v>
      </c>
      <c r="M101" s="38"/>
    </row>
    <row r="102">
      <c r="A102" s="1"/>
      <c r="J102" s="14"/>
      <c r="M102" s="38"/>
    </row>
    <row r="103">
      <c r="A103" s="1" t="s">
        <v>236</v>
      </c>
      <c r="C103" s="1">
        <f>9167.28*0.3-(633.9)+1000</f>
        <v>3116.284</v>
      </c>
      <c r="M103" s="38"/>
    </row>
    <row r="104">
      <c r="A104" s="1" t="s">
        <v>50</v>
      </c>
      <c r="C104" s="8">
        <f>SUM(C2:C101)</f>
        <v>9393.12</v>
      </c>
      <c r="D104" s="8">
        <f>(9167.28+1000)-C104-C103</f>
        <v>-2342.124</v>
      </c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6" t="s">
        <v>240</v>
      </c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B149" s="8"/>
      <c r="M149" s="38"/>
    </row>
    <row r="150">
      <c r="B150" s="8"/>
      <c r="M150" s="38"/>
    </row>
    <row r="151">
      <c r="M151" s="38"/>
    </row>
    <row r="152">
      <c r="M152" s="38"/>
    </row>
    <row r="153">
      <c r="B153" s="8">
        <f>10167.28-B148</f>
        <v>774.16</v>
      </c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</sheetData>
  <autoFilter ref="$A$1:$BV$17"/>
  <conditionalFormatting sqref="B153">
    <cfRule type="cellIs" dxfId="1" priority="1" operator="greaterThanOrEqual">
      <formula>0</formula>
    </cfRule>
  </conditionalFormatting>
  <conditionalFormatting sqref="B153">
    <cfRule type="cellIs" dxfId="2" priority="2" operator="lessThan">
      <formula>0</formula>
    </cfRule>
  </conditionalFormatting>
  <dataValidations>
    <dataValidation type="list" allowBlank="1" showErrorMessage="1" sqref="J2:J102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veicular,ferias,projetos"</formula1>
    </dataValidation>
  </dataValidation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695.0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1113.31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2" t="s">
        <v>106</v>
      </c>
      <c r="B5" s="2">
        <v>14.0</v>
      </c>
      <c r="C5" s="40">
        <v>696.36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129.0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100.46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65.0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782</v>
      </c>
      <c r="B23" s="1">
        <v>0.0</v>
      </c>
      <c r="C23" s="1">
        <v>113.91</v>
      </c>
      <c r="D23" s="1" t="s">
        <v>96</v>
      </c>
      <c r="E23" s="1" t="s">
        <v>105</v>
      </c>
      <c r="J23" s="1" t="s">
        <v>15</v>
      </c>
      <c r="M23" s="38"/>
    </row>
    <row r="24">
      <c r="A24" s="1" t="s">
        <v>783</v>
      </c>
      <c r="B24" s="1">
        <v>0.0</v>
      </c>
      <c r="C24" s="1">
        <v>62.95</v>
      </c>
      <c r="D24" s="1" t="s">
        <v>96</v>
      </c>
      <c r="E24" s="1" t="s">
        <v>105</v>
      </c>
      <c r="G24" s="1"/>
      <c r="J24" s="1" t="s">
        <v>15</v>
      </c>
      <c r="M24" s="38"/>
    </row>
    <row r="25">
      <c r="A25" s="1" t="s">
        <v>784</v>
      </c>
      <c r="B25" s="1">
        <v>0.0</v>
      </c>
      <c r="C25" s="1">
        <v>82.7</v>
      </c>
      <c r="D25" s="1" t="s">
        <v>96</v>
      </c>
      <c r="E25" s="1" t="s">
        <v>105</v>
      </c>
      <c r="G25" s="1"/>
      <c r="J25" s="1" t="s">
        <v>15</v>
      </c>
      <c r="M25" s="38"/>
    </row>
    <row r="26">
      <c r="A26" s="1" t="s">
        <v>763</v>
      </c>
      <c r="B26" s="1">
        <v>0.0</v>
      </c>
      <c r="C26" s="1">
        <v>30.0</v>
      </c>
      <c r="D26" s="1" t="s">
        <v>96</v>
      </c>
      <c r="E26" s="1" t="s">
        <v>105</v>
      </c>
      <c r="G26" s="1"/>
      <c r="J26" s="1" t="s">
        <v>18</v>
      </c>
      <c r="M26" s="38"/>
    </row>
    <row r="27">
      <c r="A27" s="1" t="s">
        <v>785</v>
      </c>
      <c r="B27" s="1">
        <v>0.0</v>
      </c>
      <c r="C27" s="1">
        <v>105.0</v>
      </c>
      <c r="D27" s="1" t="s">
        <v>96</v>
      </c>
      <c r="E27" s="1" t="s">
        <v>105</v>
      </c>
      <c r="G27" s="1"/>
      <c r="J27" s="1" t="s">
        <v>30</v>
      </c>
      <c r="M27" s="38"/>
    </row>
    <row r="28">
      <c r="A28" s="1" t="s">
        <v>270</v>
      </c>
      <c r="B28" s="1">
        <v>0.0</v>
      </c>
      <c r="C28" s="1">
        <v>70.93</v>
      </c>
      <c r="D28" s="1" t="s">
        <v>96</v>
      </c>
      <c r="E28" s="1" t="s">
        <v>133</v>
      </c>
      <c r="G28" s="1"/>
      <c r="J28" s="1" t="s">
        <v>18</v>
      </c>
      <c r="M28" s="38"/>
    </row>
    <row r="29">
      <c r="A29" s="1" t="s">
        <v>786</v>
      </c>
      <c r="B29" s="1">
        <v>0.0</v>
      </c>
      <c r="C29" s="1">
        <v>11.5</v>
      </c>
      <c r="D29" s="1" t="s">
        <v>96</v>
      </c>
      <c r="E29" s="1" t="s">
        <v>133</v>
      </c>
      <c r="G29" s="1"/>
      <c r="J29" s="1" t="s">
        <v>29</v>
      </c>
      <c r="M29" s="38"/>
    </row>
    <row r="30">
      <c r="A30" s="1" t="s">
        <v>787</v>
      </c>
      <c r="B30" s="1">
        <v>0.0</v>
      </c>
      <c r="C30" s="1">
        <v>68.0</v>
      </c>
      <c r="D30" s="1" t="s">
        <v>96</v>
      </c>
      <c r="E30" s="1" t="s">
        <v>133</v>
      </c>
      <c r="G30" s="1"/>
      <c r="J30" s="1" t="s">
        <v>41</v>
      </c>
      <c r="M30" s="38"/>
    </row>
    <row r="31">
      <c r="A31" s="1" t="s">
        <v>788</v>
      </c>
      <c r="B31" s="1">
        <v>0.0</v>
      </c>
      <c r="C31" s="1">
        <v>50.0</v>
      </c>
      <c r="D31" s="1" t="s">
        <v>96</v>
      </c>
      <c r="E31" s="1" t="s">
        <v>133</v>
      </c>
      <c r="G31" s="1"/>
      <c r="J31" s="1" t="s">
        <v>18</v>
      </c>
      <c r="M31" s="38"/>
    </row>
    <row r="32">
      <c r="A32" s="1" t="s">
        <v>789</v>
      </c>
      <c r="B32" s="1">
        <v>0.0</v>
      </c>
      <c r="C32" s="1">
        <v>34.99</v>
      </c>
      <c r="D32" s="1" t="s">
        <v>96</v>
      </c>
      <c r="E32" s="1" t="s">
        <v>133</v>
      </c>
      <c r="G32" s="1"/>
      <c r="J32" s="1" t="s">
        <v>32</v>
      </c>
      <c r="M32" s="38"/>
    </row>
    <row r="33">
      <c r="A33" s="1" t="s">
        <v>270</v>
      </c>
      <c r="B33" s="1">
        <v>1.0</v>
      </c>
      <c r="C33" s="1">
        <v>20.0</v>
      </c>
      <c r="D33" s="1" t="s">
        <v>96</v>
      </c>
      <c r="E33" s="1" t="s">
        <v>133</v>
      </c>
      <c r="G33" s="1"/>
      <c r="J33" s="1" t="s">
        <v>18</v>
      </c>
      <c r="M33" s="38"/>
    </row>
    <row r="34">
      <c r="A34" s="1" t="s">
        <v>263</v>
      </c>
      <c r="B34" s="1">
        <v>1.0</v>
      </c>
      <c r="C34" s="1">
        <v>125.22</v>
      </c>
      <c r="D34" s="1" t="s">
        <v>96</v>
      </c>
      <c r="E34" s="1" t="s">
        <v>133</v>
      </c>
      <c r="G34" s="1"/>
      <c r="J34" s="1" t="s">
        <v>28</v>
      </c>
      <c r="M34" s="38"/>
    </row>
    <row r="35">
      <c r="A35" s="1" t="s">
        <v>739</v>
      </c>
      <c r="B35" s="1">
        <v>3.0</v>
      </c>
      <c r="C35" s="1">
        <v>21.18</v>
      </c>
      <c r="D35" s="1" t="s">
        <v>96</v>
      </c>
      <c r="E35" s="1" t="s">
        <v>133</v>
      </c>
      <c r="G35" s="1"/>
      <c r="J35" s="1" t="s">
        <v>25</v>
      </c>
      <c r="M35" s="38"/>
    </row>
    <row r="36">
      <c r="A36" s="1" t="s">
        <v>154</v>
      </c>
      <c r="B36" s="1">
        <v>3.0</v>
      </c>
      <c r="C36" s="1">
        <v>4.0</v>
      </c>
      <c r="D36" s="1" t="s">
        <v>96</v>
      </c>
      <c r="E36" s="1" t="s">
        <v>133</v>
      </c>
      <c r="G36" s="1"/>
      <c r="J36" s="1" t="s">
        <v>39</v>
      </c>
      <c r="M36" s="38"/>
    </row>
    <row r="37">
      <c r="A37" s="1" t="s">
        <v>333</v>
      </c>
      <c r="B37" s="1">
        <v>3.0</v>
      </c>
      <c r="C37" s="1">
        <v>20.0</v>
      </c>
      <c r="D37" s="1" t="s">
        <v>96</v>
      </c>
      <c r="E37" s="1" t="s">
        <v>133</v>
      </c>
      <c r="G37" s="1"/>
      <c r="J37" s="1" t="s">
        <v>32</v>
      </c>
      <c r="M37" s="36" t="s">
        <v>43</v>
      </c>
    </row>
    <row r="38">
      <c r="A38" s="1" t="s">
        <v>283</v>
      </c>
      <c r="B38" s="1">
        <v>3.0</v>
      </c>
      <c r="C38" s="1">
        <v>64.94</v>
      </c>
      <c r="D38" s="1" t="s">
        <v>96</v>
      </c>
      <c r="E38" s="1" t="s">
        <v>133</v>
      </c>
      <c r="G38" s="1"/>
      <c r="J38" s="1" t="s">
        <v>25</v>
      </c>
      <c r="M38" s="38"/>
    </row>
    <row r="39">
      <c r="A39" s="1" t="s">
        <v>790</v>
      </c>
      <c r="B39" s="1">
        <v>3.0</v>
      </c>
      <c r="C39" s="1">
        <v>180.0</v>
      </c>
      <c r="D39" s="1" t="s">
        <v>96</v>
      </c>
      <c r="E39" s="1" t="s">
        <v>133</v>
      </c>
      <c r="G39" s="1"/>
      <c r="J39" s="1" t="s">
        <v>28</v>
      </c>
      <c r="M39" s="38"/>
    </row>
    <row r="40">
      <c r="A40" s="1" t="s">
        <v>791</v>
      </c>
      <c r="B40" s="1">
        <v>4.0</v>
      </c>
      <c r="C40" s="1">
        <v>35.0</v>
      </c>
      <c r="D40" s="1" t="s">
        <v>96</v>
      </c>
      <c r="E40" s="1" t="s">
        <v>133</v>
      </c>
      <c r="G40" s="1"/>
      <c r="J40" s="1" t="s">
        <v>32</v>
      </c>
      <c r="M40" s="38"/>
    </row>
    <row r="41">
      <c r="A41" s="1" t="s">
        <v>792</v>
      </c>
      <c r="B41" s="1">
        <v>4.0</v>
      </c>
      <c r="C41" s="1">
        <v>68.6</v>
      </c>
      <c r="D41" s="1" t="s">
        <v>96</v>
      </c>
      <c r="E41" s="1" t="s">
        <v>133</v>
      </c>
      <c r="G41" s="1"/>
      <c r="J41" s="1" t="s">
        <v>41</v>
      </c>
      <c r="L41" s="42">
        <v>45323.0</v>
      </c>
      <c r="M41" s="38"/>
    </row>
    <row r="42">
      <c r="A42" s="1" t="s">
        <v>385</v>
      </c>
      <c r="B42" s="1">
        <v>4.0</v>
      </c>
      <c r="C42" s="1">
        <v>32.28</v>
      </c>
      <c r="D42" s="1" t="s">
        <v>96</v>
      </c>
      <c r="E42" s="1" t="s">
        <v>133</v>
      </c>
      <c r="G42" s="1"/>
      <c r="J42" s="1" t="s">
        <v>29</v>
      </c>
      <c r="M42" s="38"/>
    </row>
    <row r="43">
      <c r="A43" s="1" t="s">
        <v>270</v>
      </c>
      <c r="B43" s="1">
        <v>4.0</v>
      </c>
      <c r="C43" s="1">
        <v>50.0</v>
      </c>
      <c r="D43" s="1" t="s">
        <v>96</v>
      </c>
      <c r="E43" s="1" t="s">
        <v>133</v>
      </c>
      <c r="G43" s="1"/>
      <c r="J43" s="1" t="s">
        <v>18</v>
      </c>
      <c r="M43" s="38"/>
    </row>
    <row r="44">
      <c r="A44" s="1" t="s">
        <v>760</v>
      </c>
      <c r="B44" s="1">
        <v>5.0</v>
      </c>
      <c r="C44" s="1">
        <v>8.0</v>
      </c>
      <c r="D44" s="1" t="s">
        <v>96</v>
      </c>
      <c r="E44" s="1" t="s">
        <v>133</v>
      </c>
      <c r="G44" s="1"/>
      <c r="J44" s="1" t="s">
        <v>39</v>
      </c>
      <c r="M44" s="38"/>
    </row>
    <row r="45">
      <c r="A45" s="1" t="s">
        <v>271</v>
      </c>
      <c r="B45" s="1">
        <v>5.0</v>
      </c>
      <c r="C45" s="1">
        <v>31.76</v>
      </c>
      <c r="D45" s="1" t="s">
        <v>96</v>
      </c>
      <c r="E45" s="1" t="s">
        <v>133</v>
      </c>
      <c r="G45" s="1"/>
      <c r="J45" s="1" t="s">
        <v>29</v>
      </c>
      <c r="M45" s="38"/>
    </row>
    <row r="46">
      <c r="A46" s="1" t="s">
        <v>758</v>
      </c>
      <c r="B46" s="1">
        <v>5.0</v>
      </c>
      <c r="C46" s="1">
        <v>399.87</v>
      </c>
      <c r="D46" s="1" t="s">
        <v>96</v>
      </c>
      <c r="E46" s="1" t="s">
        <v>133</v>
      </c>
      <c r="G46" s="1"/>
      <c r="J46" s="1" t="s">
        <v>29</v>
      </c>
      <c r="M46" s="38"/>
    </row>
    <row r="47">
      <c r="A47" s="1" t="s">
        <v>250</v>
      </c>
      <c r="B47" s="1">
        <v>5.0</v>
      </c>
      <c r="C47" s="1">
        <v>29.8</v>
      </c>
      <c r="D47" s="1" t="s">
        <v>96</v>
      </c>
      <c r="E47" s="1" t="s">
        <v>133</v>
      </c>
      <c r="G47" s="1"/>
      <c r="J47" s="1" t="s">
        <v>24</v>
      </c>
      <c r="M47" s="38"/>
    </row>
    <row r="48">
      <c r="A48" s="1" t="s">
        <v>793</v>
      </c>
      <c r="B48" s="1">
        <v>6.0</v>
      </c>
      <c r="C48" s="1">
        <v>25.0</v>
      </c>
      <c r="D48" s="1" t="s">
        <v>96</v>
      </c>
      <c r="E48" s="1" t="s">
        <v>133</v>
      </c>
      <c r="G48" s="1"/>
      <c r="J48" s="1" t="s">
        <v>31</v>
      </c>
      <c r="M48" s="38"/>
    </row>
    <row r="49">
      <c r="A49" s="1" t="s">
        <v>300</v>
      </c>
      <c r="B49" s="1">
        <v>6.0</v>
      </c>
      <c r="C49" s="1">
        <v>61.9</v>
      </c>
      <c r="D49" s="1" t="s">
        <v>96</v>
      </c>
      <c r="E49" s="1" t="s">
        <v>133</v>
      </c>
      <c r="G49" s="1"/>
      <c r="J49" s="1" t="s">
        <v>29</v>
      </c>
      <c r="M49" s="38"/>
    </row>
    <row r="50">
      <c r="A50" s="1" t="s">
        <v>617</v>
      </c>
      <c r="B50" s="1">
        <v>7.0</v>
      </c>
      <c r="C50" s="1">
        <v>117.23</v>
      </c>
      <c r="D50" s="1" t="s">
        <v>96</v>
      </c>
      <c r="E50" s="1" t="s">
        <v>133</v>
      </c>
      <c r="G50" s="1"/>
      <c r="J50" s="1" t="s">
        <v>29</v>
      </c>
      <c r="M50" s="38"/>
    </row>
    <row r="51">
      <c r="A51" s="1" t="s">
        <v>270</v>
      </c>
      <c r="B51" s="1">
        <v>9.0</v>
      </c>
      <c r="C51" s="1">
        <v>50.0</v>
      </c>
      <c r="D51" s="1" t="s">
        <v>96</v>
      </c>
      <c r="E51" s="1" t="s">
        <v>133</v>
      </c>
      <c r="G51" s="1"/>
      <c r="J51" s="1" t="s">
        <v>18</v>
      </c>
      <c r="M51" s="38"/>
    </row>
    <row r="52">
      <c r="A52" s="1" t="s">
        <v>154</v>
      </c>
      <c r="B52" s="1">
        <v>10.0</v>
      </c>
      <c r="C52" s="1">
        <v>4.0</v>
      </c>
      <c r="D52" s="1" t="s">
        <v>96</v>
      </c>
      <c r="E52" s="1" t="s">
        <v>133</v>
      </c>
      <c r="G52" s="1"/>
      <c r="J52" s="1" t="s">
        <v>39</v>
      </c>
      <c r="M52" s="38"/>
    </row>
    <row r="53">
      <c r="A53" s="1" t="s">
        <v>794</v>
      </c>
      <c r="B53" s="1">
        <v>11.0</v>
      </c>
      <c r="C53" s="1">
        <v>34.36</v>
      </c>
      <c r="D53" s="1" t="s">
        <v>96</v>
      </c>
      <c r="E53" s="1" t="s">
        <v>133</v>
      </c>
      <c r="G53" s="1"/>
      <c r="J53" s="1" t="s">
        <v>29</v>
      </c>
      <c r="M53" s="38"/>
    </row>
    <row r="54">
      <c r="A54" s="1" t="s">
        <v>795</v>
      </c>
      <c r="B54" s="1">
        <v>11.0</v>
      </c>
      <c r="C54" s="1">
        <v>21.99</v>
      </c>
      <c r="D54" s="1" t="s">
        <v>96</v>
      </c>
      <c r="E54" s="1" t="s">
        <v>133</v>
      </c>
      <c r="G54" s="1"/>
      <c r="J54" s="1" t="s">
        <v>25</v>
      </c>
      <c r="M54" s="38"/>
    </row>
    <row r="55">
      <c r="A55" s="1" t="s">
        <v>283</v>
      </c>
      <c r="B55" s="1">
        <v>11.0</v>
      </c>
      <c r="C55" s="1">
        <v>23.99</v>
      </c>
      <c r="D55" s="1" t="s">
        <v>96</v>
      </c>
      <c r="E55" s="1" t="s">
        <v>133</v>
      </c>
      <c r="G55" s="1"/>
      <c r="J55" s="1" t="s">
        <v>25</v>
      </c>
      <c r="M55" s="38"/>
    </row>
    <row r="56">
      <c r="A56" s="1" t="s">
        <v>760</v>
      </c>
      <c r="B56" s="1">
        <v>12.0</v>
      </c>
      <c r="C56" s="1">
        <v>4.0</v>
      </c>
      <c r="D56" s="1" t="s">
        <v>96</v>
      </c>
      <c r="E56" s="1" t="s">
        <v>133</v>
      </c>
      <c r="G56" s="1"/>
      <c r="J56" s="1" t="s">
        <v>39</v>
      </c>
      <c r="M56" s="38"/>
    </row>
    <row r="57">
      <c r="A57" s="1" t="s">
        <v>271</v>
      </c>
      <c r="B57" s="1">
        <v>12.0</v>
      </c>
      <c r="C57" s="1">
        <v>8.97</v>
      </c>
      <c r="D57" s="1" t="s">
        <v>96</v>
      </c>
      <c r="E57" s="1" t="s">
        <v>133</v>
      </c>
      <c r="G57" s="1"/>
      <c r="J57" s="1" t="s">
        <v>29</v>
      </c>
      <c r="M57" s="38"/>
    </row>
    <row r="58">
      <c r="A58" s="1" t="s">
        <v>263</v>
      </c>
      <c r="B58" s="1">
        <v>12.0</v>
      </c>
      <c r="C58" s="1">
        <v>108.7</v>
      </c>
      <c r="D58" s="1" t="s">
        <v>96</v>
      </c>
      <c r="E58" s="1" t="s">
        <v>133</v>
      </c>
      <c r="G58" s="1"/>
      <c r="J58" s="1" t="s">
        <v>28</v>
      </c>
      <c r="M58" s="38"/>
    </row>
    <row r="59">
      <c r="A59" s="1" t="s">
        <v>796</v>
      </c>
      <c r="B59" s="1">
        <v>13.0</v>
      </c>
      <c r="C59" s="1">
        <v>42.55</v>
      </c>
      <c r="D59" s="1" t="s">
        <v>96</v>
      </c>
      <c r="E59" s="1" t="s">
        <v>133</v>
      </c>
      <c r="G59" s="1"/>
      <c r="J59" s="1" t="s">
        <v>18</v>
      </c>
      <c r="M59" s="38"/>
    </row>
    <row r="60">
      <c r="A60" s="1" t="s">
        <v>764</v>
      </c>
      <c r="B60" s="1">
        <v>13.0</v>
      </c>
      <c r="C60" s="1">
        <v>13.9</v>
      </c>
      <c r="D60" s="1" t="s">
        <v>96</v>
      </c>
      <c r="E60" s="1" t="s">
        <v>133</v>
      </c>
      <c r="G60" s="1"/>
      <c r="J60" s="1" t="s">
        <v>29</v>
      </c>
      <c r="M60" s="38"/>
    </row>
    <row r="61">
      <c r="A61" s="1" t="s">
        <v>296</v>
      </c>
      <c r="B61" s="1">
        <v>14.0</v>
      </c>
      <c r="C61" s="1">
        <v>29.4</v>
      </c>
      <c r="D61" s="1" t="s">
        <v>96</v>
      </c>
      <c r="E61" s="1" t="s">
        <v>133</v>
      </c>
      <c r="G61" s="1"/>
      <c r="J61" s="1" t="s">
        <v>24</v>
      </c>
      <c r="M61" s="38"/>
    </row>
    <row r="62">
      <c r="A62" s="1" t="s">
        <v>515</v>
      </c>
      <c r="B62" s="1">
        <v>14.0</v>
      </c>
      <c r="C62" s="1">
        <v>59.9</v>
      </c>
      <c r="D62" s="1" t="s">
        <v>96</v>
      </c>
      <c r="E62" s="1" t="s">
        <v>133</v>
      </c>
      <c r="G62" s="1"/>
      <c r="J62" s="1" t="s">
        <v>31</v>
      </c>
      <c r="M62" s="38"/>
    </row>
    <row r="63">
      <c r="A63" s="1" t="s">
        <v>797</v>
      </c>
      <c r="B63" s="1">
        <v>14.0</v>
      </c>
      <c r="C63" s="1">
        <v>46.8</v>
      </c>
      <c r="D63" s="1" t="s">
        <v>96</v>
      </c>
      <c r="E63" s="1" t="s">
        <v>133</v>
      </c>
      <c r="G63" s="1"/>
      <c r="J63" s="1" t="s">
        <v>34</v>
      </c>
      <c r="M63" s="36" t="s">
        <v>476</v>
      </c>
    </row>
    <row r="64">
      <c r="A64" s="1" t="s">
        <v>798</v>
      </c>
      <c r="B64" s="1">
        <v>15.0</v>
      </c>
      <c r="C64" s="1">
        <v>250.0</v>
      </c>
      <c r="D64" s="1" t="s">
        <v>96</v>
      </c>
      <c r="E64" s="1" t="s">
        <v>133</v>
      </c>
      <c r="G64" s="1"/>
      <c r="J64" s="1" t="s">
        <v>41</v>
      </c>
      <c r="L64" s="42">
        <v>45323.0</v>
      </c>
      <c r="M64" s="36" t="s">
        <v>476</v>
      </c>
    </row>
    <row r="65">
      <c r="A65" s="1" t="s">
        <v>799</v>
      </c>
      <c r="B65" s="1">
        <v>15.0</v>
      </c>
      <c r="C65" s="1">
        <v>20.0</v>
      </c>
      <c r="D65" s="1" t="s">
        <v>96</v>
      </c>
      <c r="E65" s="1" t="s">
        <v>133</v>
      </c>
      <c r="G65" s="1"/>
      <c r="J65" s="1" t="s">
        <v>20</v>
      </c>
      <c r="M65" s="36" t="s">
        <v>476</v>
      </c>
    </row>
    <row r="66">
      <c r="A66" s="1" t="s">
        <v>800</v>
      </c>
      <c r="B66" s="1">
        <v>15.0</v>
      </c>
      <c r="C66" s="1">
        <v>32.99</v>
      </c>
      <c r="D66" s="1" t="s">
        <v>96</v>
      </c>
      <c r="E66" s="1" t="s">
        <v>133</v>
      </c>
      <c r="J66" s="1" t="s">
        <v>29</v>
      </c>
      <c r="M66" s="36" t="s">
        <v>476</v>
      </c>
    </row>
    <row r="67">
      <c r="A67" s="1" t="s">
        <v>801</v>
      </c>
      <c r="B67" s="1">
        <v>16.0</v>
      </c>
      <c r="C67" s="1">
        <v>32.0</v>
      </c>
      <c r="D67" s="1" t="s">
        <v>96</v>
      </c>
      <c r="E67" s="1" t="s">
        <v>133</v>
      </c>
      <c r="J67" s="1" t="s">
        <v>29</v>
      </c>
      <c r="M67" s="36" t="s">
        <v>476</v>
      </c>
    </row>
    <row r="68">
      <c r="A68" s="1" t="s">
        <v>270</v>
      </c>
      <c r="B68" s="1">
        <v>16.0</v>
      </c>
      <c r="C68" s="1">
        <v>30.0</v>
      </c>
      <c r="D68" s="1" t="s">
        <v>96</v>
      </c>
      <c r="E68" s="1" t="s">
        <v>133</v>
      </c>
      <c r="J68" s="1" t="s">
        <v>18</v>
      </c>
      <c r="M68" s="36" t="s">
        <v>476</v>
      </c>
    </row>
    <row r="69">
      <c r="A69" s="1" t="s">
        <v>419</v>
      </c>
      <c r="B69" s="1">
        <v>16.0</v>
      </c>
      <c r="C69" s="1">
        <v>52.04</v>
      </c>
      <c r="D69" s="1" t="s">
        <v>96</v>
      </c>
      <c r="E69" s="1" t="s">
        <v>133</v>
      </c>
      <c r="J69" s="1" t="s">
        <v>29</v>
      </c>
      <c r="M69" s="36" t="s">
        <v>476</v>
      </c>
    </row>
    <row r="70">
      <c r="A70" s="1" t="s">
        <v>435</v>
      </c>
      <c r="B70" s="1">
        <v>16.0</v>
      </c>
      <c r="C70" s="1">
        <v>39.9</v>
      </c>
      <c r="D70" s="1" t="s">
        <v>96</v>
      </c>
      <c r="E70" s="1" t="s">
        <v>133</v>
      </c>
      <c r="J70" s="1" t="s">
        <v>41</v>
      </c>
      <c r="M70" s="36" t="s">
        <v>476</v>
      </c>
    </row>
    <row r="71">
      <c r="A71" s="1" t="s">
        <v>154</v>
      </c>
      <c r="B71" s="1">
        <v>17.0</v>
      </c>
      <c r="C71" s="1">
        <v>4.0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41</v>
      </c>
      <c r="K71" s="42">
        <v>44959.0</v>
      </c>
      <c r="M71" s="36" t="s">
        <v>476</v>
      </c>
    </row>
    <row r="72">
      <c r="A72" s="1" t="s">
        <v>270</v>
      </c>
      <c r="B72" s="1">
        <v>18.0</v>
      </c>
      <c r="C72" s="1">
        <v>40.0</v>
      </c>
      <c r="D72" s="1" t="s">
        <v>96</v>
      </c>
      <c r="E72" s="1" t="s">
        <v>133</v>
      </c>
      <c r="J72" s="1" t="s">
        <v>18</v>
      </c>
      <c r="M72" s="36" t="s">
        <v>476</v>
      </c>
    </row>
    <row r="73">
      <c r="A73" s="1" t="s">
        <v>270</v>
      </c>
      <c r="B73" s="1">
        <v>18.0</v>
      </c>
      <c r="C73" s="1">
        <v>50.0</v>
      </c>
      <c r="D73" s="1" t="s">
        <v>96</v>
      </c>
      <c r="E73" s="1" t="s">
        <v>133</v>
      </c>
      <c r="J73" s="1" t="s">
        <v>18</v>
      </c>
      <c r="M73" s="36" t="s">
        <v>476</v>
      </c>
    </row>
    <row r="74">
      <c r="A74" s="1" t="s">
        <v>758</v>
      </c>
      <c r="B74" s="1">
        <v>19.0</v>
      </c>
      <c r="C74" s="1">
        <v>177.1</v>
      </c>
      <c r="D74" s="1" t="s">
        <v>96</v>
      </c>
      <c r="E74" s="1" t="s">
        <v>133</v>
      </c>
      <c r="J74" s="1" t="s">
        <v>29</v>
      </c>
      <c r="M74" s="36" t="s">
        <v>476</v>
      </c>
    </row>
    <row r="75">
      <c r="A75" s="1" t="s">
        <v>523</v>
      </c>
      <c r="B75" s="1">
        <v>19.0</v>
      </c>
      <c r="C75" s="1">
        <v>46.9</v>
      </c>
      <c r="D75" s="1" t="s">
        <v>96</v>
      </c>
      <c r="E75" s="1" t="s">
        <v>133</v>
      </c>
      <c r="J75" s="1" t="s">
        <v>34</v>
      </c>
      <c r="M75" s="36" t="s">
        <v>476</v>
      </c>
    </row>
    <row r="76">
      <c r="A76" s="1" t="s">
        <v>154</v>
      </c>
      <c r="B76" s="1">
        <v>20.0</v>
      </c>
      <c r="C76" s="1">
        <v>4.0</v>
      </c>
      <c r="D76" s="1" t="s">
        <v>96</v>
      </c>
      <c r="E76" s="1" t="s">
        <v>133</v>
      </c>
      <c r="J76" s="1" t="s">
        <v>39</v>
      </c>
      <c r="M76" s="36" t="s">
        <v>476</v>
      </c>
    </row>
    <row r="77">
      <c r="A77" s="1" t="s">
        <v>296</v>
      </c>
      <c r="B77" s="1">
        <v>20.0</v>
      </c>
      <c r="C77" s="1">
        <v>6.0</v>
      </c>
      <c r="D77" s="1" t="s">
        <v>96</v>
      </c>
      <c r="E77" s="1" t="s">
        <v>133</v>
      </c>
      <c r="J77" s="1" t="s">
        <v>24</v>
      </c>
      <c r="M77" s="36" t="s">
        <v>476</v>
      </c>
    </row>
    <row r="78">
      <c r="A78" s="1" t="s">
        <v>248</v>
      </c>
      <c r="B78" s="1">
        <v>21.0</v>
      </c>
      <c r="C78" s="1">
        <v>9.0</v>
      </c>
      <c r="D78" s="1" t="s">
        <v>96</v>
      </c>
      <c r="E78" s="1" t="s">
        <v>133</v>
      </c>
      <c r="J78" s="1" t="s">
        <v>34</v>
      </c>
      <c r="M78" s="36" t="s">
        <v>476</v>
      </c>
    </row>
    <row r="79">
      <c r="A79" s="1" t="s">
        <v>263</v>
      </c>
      <c r="B79" s="1">
        <v>21.0</v>
      </c>
      <c r="C79" s="1">
        <v>114.3</v>
      </c>
      <c r="D79" s="1" t="s">
        <v>96</v>
      </c>
      <c r="E79" s="1" t="s">
        <v>133</v>
      </c>
      <c r="J79" s="1" t="s">
        <v>28</v>
      </c>
      <c r="M79" s="36" t="s">
        <v>476</v>
      </c>
    </row>
    <row r="80">
      <c r="A80" s="1" t="s">
        <v>802</v>
      </c>
      <c r="B80" s="1">
        <v>23.0</v>
      </c>
      <c r="C80" s="1">
        <v>189.75</v>
      </c>
      <c r="D80" s="1" t="s">
        <v>96</v>
      </c>
      <c r="E80" s="1" t="s">
        <v>133</v>
      </c>
      <c r="J80" s="1" t="s">
        <v>34</v>
      </c>
      <c r="M80" s="38"/>
    </row>
    <row r="81">
      <c r="A81" s="1" t="s">
        <v>803</v>
      </c>
      <c r="B81" s="1">
        <v>23.0</v>
      </c>
      <c r="C81" s="1">
        <v>20.0</v>
      </c>
      <c r="D81" s="1" t="s">
        <v>96</v>
      </c>
      <c r="E81" s="1" t="s">
        <v>133</v>
      </c>
      <c r="J81" s="1" t="s">
        <v>20</v>
      </c>
      <c r="M81" s="38"/>
    </row>
    <row r="82">
      <c r="A82" s="1" t="s">
        <v>804</v>
      </c>
      <c r="B82" s="1">
        <v>23.0</v>
      </c>
      <c r="C82" s="1">
        <v>64.0</v>
      </c>
      <c r="D82" s="1" t="s">
        <v>96</v>
      </c>
      <c r="E82" s="1" t="s">
        <v>133</v>
      </c>
      <c r="J82" s="1" t="s">
        <v>15</v>
      </c>
      <c r="M82" s="38"/>
    </row>
    <row r="83">
      <c r="A83" s="1" t="s">
        <v>805</v>
      </c>
      <c r="B83" s="1">
        <v>23.0</v>
      </c>
      <c r="C83" s="1">
        <v>138.05</v>
      </c>
      <c r="D83" s="1" t="s">
        <v>96</v>
      </c>
      <c r="E83" s="1" t="s">
        <v>133</v>
      </c>
      <c r="J83" s="1" t="s">
        <v>29</v>
      </c>
      <c r="M83" s="38"/>
    </row>
    <row r="84">
      <c r="A84" s="1" t="s">
        <v>636</v>
      </c>
      <c r="B84" s="1">
        <v>23.0</v>
      </c>
      <c r="C84" s="1">
        <v>24.96</v>
      </c>
      <c r="D84" s="1" t="s">
        <v>96</v>
      </c>
      <c r="E84" s="1" t="s">
        <v>133</v>
      </c>
      <c r="J84" s="1" t="s">
        <v>41</v>
      </c>
      <c r="M84" s="38"/>
    </row>
    <row r="85">
      <c r="A85" s="1" t="s">
        <v>806</v>
      </c>
      <c r="B85" s="1">
        <v>0.0</v>
      </c>
      <c r="C85" s="1">
        <v>0.0</v>
      </c>
      <c r="D85" s="1" t="s">
        <v>96</v>
      </c>
      <c r="E85" s="1" t="s">
        <v>133</v>
      </c>
      <c r="J85" s="1" t="s">
        <v>30</v>
      </c>
      <c r="M85" s="38"/>
    </row>
    <row r="86">
      <c r="A86" s="1" t="s">
        <v>534</v>
      </c>
      <c r="B86" s="1">
        <v>0.0</v>
      </c>
      <c r="C86" s="1">
        <v>0.0</v>
      </c>
      <c r="D86" s="1" t="s">
        <v>96</v>
      </c>
      <c r="E86" s="1" t="s">
        <v>133</v>
      </c>
      <c r="J86" s="1" t="s">
        <v>34</v>
      </c>
      <c r="M86" s="38"/>
    </row>
    <row r="87">
      <c r="A87" s="1" t="s">
        <v>534</v>
      </c>
      <c r="B87" s="1">
        <v>0.0</v>
      </c>
      <c r="C87" s="1">
        <v>0.0</v>
      </c>
      <c r="D87" s="1" t="s">
        <v>96</v>
      </c>
      <c r="E87" s="1" t="s">
        <v>133</v>
      </c>
      <c r="J87" s="1" t="s">
        <v>34</v>
      </c>
      <c r="M87" s="38"/>
    </row>
    <row r="88">
      <c r="A88" s="1" t="s">
        <v>264</v>
      </c>
      <c r="B88" s="1">
        <v>0.0</v>
      </c>
      <c r="C88" s="1">
        <v>0.0</v>
      </c>
      <c r="D88" s="1" t="s">
        <v>96</v>
      </c>
      <c r="E88" s="1" t="s">
        <v>133</v>
      </c>
      <c r="J88" s="1" t="s">
        <v>20</v>
      </c>
      <c r="M88" s="38"/>
    </row>
    <row r="89">
      <c r="A89" s="1" t="s">
        <v>392</v>
      </c>
      <c r="B89" s="1">
        <v>0.0</v>
      </c>
      <c r="C89" s="1">
        <v>0.0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650</v>
      </c>
      <c r="B90" s="1">
        <v>0.0</v>
      </c>
      <c r="C90" s="1">
        <v>0.0</v>
      </c>
      <c r="D90" s="1" t="s">
        <v>96</v>
      </c>
      <c r="E90" s="1" t="s">
        <v>156</v>
      </c>
      <c r="J90" s="1" t="s">
        <v>29</v>
      </c>
      <c r="M90" s="38"/>
    </row>
    <row r="91">
      <c r="A91" s="1" t="s">
        <v>651</v>
      </c>
      <c r="B91" s="1">
        <v>0.0</v>
      </c>
      <c r="C91" s="1">
        <v>0.0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652</v>
      </c>
      <c r="B92" s="1">
        <v>0.0</v>
      </c>
      <c r="C92" s="1">
        <v>0.0</v>
      </c>
      <c r="D92" s="1" t="s">
        <v>96</v>
      </c>
      <c r="E92" s="1" t="s">
        <v>156</v>
      </c>
      <c r="J92" s="1" t="s">
        <v>42</v>
      </c>
      <c r="M92" s="38"/>
    </row>
    <row r="93">
      <c r="A93" s="1" t="s">
        <v>653</v>
      </c>
      <c r="B93" s="1">
        <v>0.0</v>
      </c>
      <c r="C93" s="1">
        <v>0.0</v>
      </c>
      <c r="D93" s="1" t="s">
        <v>96</v>
      </c>
      <c r="E93" s="1" t="s">
        <v>156</v>
      </c>
      <c r="J93" s="1" t="s">
        <v>42</v>
      </c>
      <c r="M93" s="38"/>
    </row>
    <row r="94">
      <c r="A94" s="1" t="s">
        <v>654</v>
      </c>
      <c r="B94" s="1">
        <v>0.0</v>
      </c>
      <c r="C94" s="1">
        <v>0.0</v>
      </c>
      <c r="D94" s="1" t="s">
        <v>96</v>
      </c>
      <c r="E94" s="1" t="s">
        <v>156</v>
      </c>
      <c r="J94" s="1" t="s">
        <v>28</v>
      </c>
      <c r="M94" s="38"/>
    </row>
    <row r="95">
      <c r="A95" s="1" t="s">
        <v>655</v>
      </c>
      <c r="B95" s="1">
        <v>0.0</v>
      </c>
      <c r="C95" s="1">
        <v>0.0</v>
      </c>
      <c r="D95" s="1" t="s">
        <v>96</v>
      </c>
      <c r="E95" s="1" t="s">
        <v>156</v>
      </c>
      <c r="J95" s="1" t="s">
        <v>21</v>
      </c>
      <c r="M95" s="38"/>
    </row>
    <row r="96">
      <c r="A96" s="1" t="s">
        <v>656</v>
      </c>
      <c r="B96" s="1">
        <v>0.0</v>
      </c>
      <c r="C96" s="1">
        <v>0.0</v>
      </c>
      <c r="D96" s="1" t="s">
        <v>96</v>
      </c>
      <c r="E96" s="1" t="s">
        <v>156</v>
      </c>
      <c r="J96" s="1" t="s">
        <v>28</v>
      </c>
      <c r="M96" s="38"/>
    </row>
    <row r="97">
      <c r="A97" s="1" t="s">
        <v>300</v>
      </c>
      <c r="B97" s="1">
        <v>0.0</v>
      </c>
      <c r="C97" s="1">
        <v>0.0</v>
      </c>
      <c r="D97" s="1" t="s">
        <v>96</v>
      </c>
      <c r="E97" s="1" t="s">
        <v>133</v>
      </c>
      <c r="J97" s="1" t="s">
        <v>29</v>
      </c>
      <c r="M97" s="38"/>
    </row>
    <row r="98">
      <c r="A98" s="1" t="s">
        <v>254</v>
      </c>
      <c r="B98" s="1">
        <v>0.0</v>
      </c>
      <c r="C98" s="1">
        <v>0.0</v>
      </c>
      <c r="D98" s="1" t="s">
        <v>96</v>
      </c>
      <c r="E98" s="1" t="s">
        <v>133</v>
      </c>
      <c r="J98" s="1" t="s">
        <v>15</v>
      </c>
      <c r="M98" s="38"/>
    </row>
    <row r="99">
      <c r="A99" s="1" t="s">
        <v>657</v>
      </c>
      <c r="B99" s="1">
        <v>0.0</v>
      </c>
      <c r="C99" s="1">
        <v>0.0</v>
      </c>
      <c r="D99" s="1" t="s">
        <v>96</v>
      </c>
      <c r="E99" s="1" t="s">
        <v>133</v>
      </c>
      <c r="J99" s="1" t="s">
        <v>31</v>
      </c>
      <c r="M99" s="38"/>
    </row>
    <row r="100">
      <c r="A100" s="1" t="s">
        <v>658</v>
      </c>
      <c r="B100" s="1">
        <v>0.0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444</v>
      </c>
      <c r="B101" s="1">
        <v>0.0</v>
      </c>
      <c r="C101" s="1">
        <v>0.0</v>
      </c>
      <c r="D101" s="1" t="s">
        <v>96</v>
      </c>
      <c r="E101" s="1" t="s">
        <v>133</v>
      </c>
      <c r="J101" s="1" t="s">
        <v>31</v>
      </c>
      <c r="M101" s="38"/>
    </row>
    <row r="102">
      <c r="A102" s="1"/>
      <c r="J102" s="14"/>
      <c r="M102" s="38"/>
    </row>
    <row r="103">
      <c r="A103" s="1" t="s">
        <v>236</v>
      </c>
      <c r="C103" s="1">
        <f>14000*0.3-(633.9)</f>
        <v>3566.1</v>
      </c>
      <c r="M103" s="38"/>
    </row>
    <row r="104">
      <c r="A104" s="1" t="s">
        <v>50</v>
      </c>
      <c r="C104" s="8">
        <f>SUM(C2:C101)</f>
        <v>7593.98</v>
      </c>
      <c r="D104" s="8">
        <f>(14000)-C104-C103</f>
        <v>2839.92</v>
      </c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6" t="s">
        <v>240</v>
      </c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B150" s="8"/>
      <c r="M150" s="38"/>
    </row>
    <row r="151">
      <c r="M151" s="38"/>
    </row>
    <row r="152">
      <c r="M152" s="38"/>
    </row>
    <row r="153">
      <c r="B153" s="8">
        <f>14000-B150</f>
        <v>14000</v>
      </c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</sheetData>
  <autoFilter ref="$A$1:$BV$17"/>
  <conditionalFormatting sqref="B153">
    <cfRule type="cellIs" dxfId="1" priority="1" operator="greaterThanOrEqual">
      <formula>0</formula>
    </cfRule>
  </conditionalFormatting>
  <conditionalFormatting sqref="B153">
    <cfRule type="cellIs" dxfId="2" priority="2" operator="lessThan">
      <formula>0</formula>
    </cfRule>
  </conditionalFormatting>
  <dataValidations>
    <dataValidation type="list" allowBlank="1" showErrorMessage="1" sqref="J2:J102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695.0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5.0</v>
      </c>
      <c r="C3" s="39">
        <v>1113.31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2" t="s">
        <v>106</v>
      </c>
      <c r="B5" s="2">
        <v>14.0</v>
      </c>
      <c r="C5" s="40">
        <v>696.36</v>
      </c>
      <c r="D5" s="2" t="s">
        <v>96</v>
      </c>
      <c r="E5" s="2" t="s">
        <v>49</v>
      </c>
      <c r="F5" s="2" t="s">
        <v>107</v>
      </c>
      <c r="G5" s="2" t="s">
        <v>108</v>
      </c>
      <c r="H5" s="2" t="s">
        <v>109</v>
      </c>
      <c r="I5" s="2" t="s">
        <v>100</v>
      </c>
      <c r="J5" s="2" t="s">
        <v>27</v>
      </c>
      <c r="K5" s="21"/>
      <c r="L5" s="2" t="s">
        <v>110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</row>
    <row r="6">
      <c r="A6" s="1" t="s">
        <v>111</v>
      </c>
      <c r="B6" s="1">
        <v>11.0</v>
      </c>
      <c r="C6" s="37">
        <v>129.0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100.46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65.0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807</v>
      </c>
      <c r="B23" s="1">
        <v>0.0</v>
      </c>
      <c r="C23" s="1">
        <v>50.0</v>
      </c>
      <c r="D23" s="1" t="s">
        <v>96</v>
      </c>
      <c r="E23" s="1" t="s">
        <v>105</v>
      </c>
      <c r="J23" s="1" t="s">
        <v>32</v>
      </c>
      <c r="M23" s="38"/>
    </row>
    <row r="24">
      <c r="A24" s="1" t="s">
        <v>154</v>
      </c>
      <c r="B24" s="1">
        <v>0.0</v>
      </c>
      <c r="C24" s="1">
        <v>4.0</v>
      </c>
      <c r="D24" s="1" t="s">
        <v>96</v>
      </c>
      <c r="E24" s="1" t="s">
        <v>105</v>
      </c>
      <c r="G24" s="1"/>
      <c r="J24" s="1" t="s">
        <v>39</v>
      </c>
      <c r="M24" s="38"/>
    </row>
    <row r="25">
      <c r="A25" s="1" t="s">
        <v>808</v>
      </c>
      <c r="B25" s="1">
        <v>0.0</v>
      </c>
      <c r="C25" s="1">
        <v>235.0</v>
      </c>
      <c r="D25" s="1" t="s">
        <v>96</v>
      </c>
      <c r="E25" s="1" t="s">
        <v>105</v>
      </c>
      <c r="G25" s="1"/>
      <c r="J25" s="1" t="s">
        <v>42</v>
      </c>
      <c r="M25" s="38"/>
    </row>
    <row r="26">
      <c r="A26" s="1" t="s">
        <v>392</v>
      </c>
      <c r="B26" s="1">
        <v>0.0</v>
      </c>
      <c r="C26" s="1">
        <v>32.0</v>
      </c>
      <c r="D26" s="1" t="s">
        <v>96</v>
      </c>
      <c r="E26" s="1" t="s">
        <v>105</v>
      </c>
      <c r="G26" s="1"/>
      <c r="J26" s="1" t="s">
        <v>24</v>
      </c>
      <c r="M26" s="38"/>
    </row>
    <row r="27">
      <c r="A27" s="1" t="s">
        <v>392</v>
      </c>
      <c r="B27" s="1">
        <v>0.0</v>
      </c>
      <c r="C27" s="1">
        <v>6.75</v>
      </c>
      <c r="D27" s="1" t="s">
        <v>96</v>
      </c>
      <c r="E27" s="1" t="s">
        <v>105</v>
      </c>
      <c r="G27" s="1"/>
      <c r="J27" s="1" t="s">
        <v>24</v>
      </c>
      <c r="M27" s="38"/>
    </row>
    <row r="28">
      <c r="A28" s="1" t="s">
        <v>809</v>
      </c>
      <c r="B28" s="1">
        <v>0.0</v>
      </c>
      <c r="C28" s="1">
        <v>40.0</v>
      </c>
      <c r="D28" s="1" t="s">
        <v>96</v>
      </c>
      <c r="E28" s="1" t="s">
        <v>133</v>
      </c>
      <c r="G28" s="1"/>
      <c r="J28" s="1" t="s">
        <v>18</v>
      </c>
      <c r="M28" s="38"/>
    </row>
    <row r="29">
      <c r="A29" s="1" t="s">
        <v>29</v>
      </c>
      <c r="B29" s="1">
        <v>1.0</v>
      </c>
      <c r="C29" s="1">
        <v>38.18</v>
      </c>
      <c r="D29" s="1" t="s">
        <v>96</v>
      </c>
      <c r="E29" s="1" t="s">
        <v>133</v>
      </c>
      <c r="G29" s="1"/>
      <c r="J29" s="1" t="s">
        <v>29</v>
      </c>
      <c r="M29" s="38"/>
    </row>
    <row r="30">
      <c r="A30" s="1" t="s">
        <v>154</v>
      </c>
      <c r="B30" s="1">
        <v>1.0</v>
      </c>
      <c r="C30" s="1">
        <v>7.5</v>
      </c>
      <c r="D30" s="1" t="s">
        <v>96</v>
      </c>
      <c r="E30" s="1" t="s">
        <v>133</v>
      </c>
      <c r="G30" s="1"/>
      <c r="J30" s="1" t="s">
        <v>39</v>
      </c>
      <c r="M30" s="38"/>
    </row>
    <row r="31">
      <c r="A31" s="1" t="s">
        <v>810</v>
      </c>
      <c r="B31" s="1">
        <v>1.0</v>
      </c>
      <c r="C31" s="1">
        <v>34.89</v>
      </c>
      <c r="D31" s="1" t="s">
        <v>96</v>
      </c>
      <c r="E31" s="1" t="s">
        <v>133</v>
      </c>
      <c r="G31" s="1"/>
      <c r="J31" s="1" t="s">
        <v>24</v>
      </c>
      <c r="M31" s="38"/>
    </row>
    <row r="32">
      <c r="A32" s="1" t="s">
        <v>811</v>
      </c>
      <c r="B32" s="1">
        <v>1.0</v>
      </c>
      <c r="C32" s="1">
        <v>16.0</v>
      </c>
      <c r="D32" s="1" t="s">
        <v>96</v>
      </c>
      <c r="E32" s="1" t="s">
        <v>133</v>
      </c>
      <c r="G32" s="1"/>
      <c r="J32" s="1" t="s">
        <v>32</v>
      </c>
      <c r="M32" s="38"/>
    </row>
    <row r="33">
      <c r="A33" s="1" t="s">
        <v>154</v>
      </c>
      <c r="B33" s="1">
        <v>1.0</v>
      </c>
      <c r="C33" s="1">
        <v>4.0</v>
      </c>
      <c r="D33" s="1" t="s">
        <v>96</v>
      </c>
      <c r="E33" s="1" t="s">
        <v>133</v>
      </c>
      <c r="G33" s="1"/>
      <c r="J33" s="1" t="s">
        <v>39</v>
      </c>
      <c r="M33" s="38"/>
    </row>
    <row r="34">
      <c r="A34" s="1" t="s">
        <v>812</v>
      </c>
      <c r="B34" s="1">
        <v>1.0</v>
      </c>
      <c r="C34" s="1">
        <v>50.0</v>
      </c>
      <c r="D34" s="1" t="s">
        <v>96</v>
      </c>
      <c r="E34" s="1" t="s">
        <v>133</v>
      </c>
      <c r="G34" s="1"/>
      <c r="J34" s="1" t="s">
        <v>18</v>
      </c>
      <c r="M34" s="38"/>
    </row>
    <row r="35">
      <c r="A35" s="1" t="s">
        <v>444</v>
      </c>
      <c r="B35" s="1">
        <v>1.0</v>
      </c>
      <c r="C35" s="1">
        <v>280.87</v>
      </c>
      <c r="D35" s="1" t="s">
        <v>96</v>
      </c>
      <c r="E35" s="1" t="s">
        <v>133</v>
      </c>
      <c r="G35" s="1"/>
      <c r="J35" s="1" t="s">
        <v>31</v>
      </c>
      <c r="M35" s="38"/>
    </row>
    <row r="36">
      <c r="A36" s="1" t="s">
        <v>770</v>
      </c>
      <c r="B36" s="1">
        <v>2.0</v>
      </c>
      <c r="C36" s="1">
        <v>9.5</v>
      </c>
      <c r="D36" s="1" t="s">
        <v>96</v>
      </c>
      <c r="E36" s="1" t="s">
        <v>133</v>
      </c>
      <c r="G36" s="1"/>
      <c r="J36" s="1" t="s">
        <v>24</v>
      </c>
      <c r="M36" s="38"/>
    </row>
    <row r="37">
      <c r="A37" s="1" t="s">
        <v>283</v>
      </c>
      <c r="B37" s="1">
        <v>2.0</v>
      </c>
      <c r="C37" s="1">
        <v>67.49</v>
      </c>
      <c r="D37" s="1" t="s">
        <v>96</v>
      </c>
      <c r="E37" s="1" t="s">
        <v>133</v>
      </c>
      <c r="G37" s="1"/>
      <c r="J37" s="1" t="s">
        <v>25</v>
      </c>
      <c r="M37" s="36" t="s">
        <v>43</v>
      </c>
    </row>
    <row r="38">
      <c r="A38" s="1" t="s">
        <v>809</v>
      </c>
      <c r="B38" s="1">
        <v>2.0</v>
      </c>
      <c r="C38" s="1">
        <v>40.0</v>
      </c>
      <c r="D38" s="1" t="s">
        <v>96</v>
      </c>
      <c r="E38" s="1" t="s">
        <v>133</v>
      </c>
      <c r="G38" s="1"/>
      <c r="J38" s="1" t="s">
        <v>18</v>
      </c>
      <c r="M38" s="38"/>
    </row>
    <row r="39">
      <c r="A39" s="1" t="s">
        <v>808</v>
      </c>
      <c r="B39" s="1">
        <v>4.0</v>
      </c>
      <c r="C39" s="1">
        <v>1038.0</v>
      </c>
      <c r="D39" s="1" t="s">
        <v>96</v>
      </c>
      <c r="E39" s="1" t="s">
        <v>133</v>
      </c>
      <c r="G39" s="1"/>
      <c r="J39" s="1" t="s">
        <v>42</v>
      </c>
      <c r="M39" s="38"/>
    </row>
    <row r="40">
      <c r="A40" s="1" t="s">
        <v>813</v>
      </c>
      <c r="B40" s="1">
        <v>5.0</v>
      </c>
      <c r="C40" s="1">
        <v>69.0</v>
      </c>
      <c r="D40" s="1" t="s">
        <v>96</v>
      </c>
      <c r="E40" s="1" t="s">
        <v>133</v>
      </c>
      <c r="G40" s="1"/>
      <c r="J40" s="1" t="s">
        <v>15</v>
      </c>
      <c r="M40" s="38"/>
    </row>
    <row r="41">
      <c r="A41" s="1" t="s">
        <v>814</v>
      </c>
      <c r="B41" s="1">
        <v>5.0</v>
      </c>
      <c r="C41" s="1">
        <v>32.0</v>
      </c>
      <c r="D41" s="1" t="s">
        <v>96</v>
      </c>
      <c r="E41" s="1" t="s">
        <v>133</v>
      </c>
      <c r="G41" s="1"/>
      <c r="J41" s="1" t="s">
        <v>29</v>
      </c>
      <c r="L41" s="42">
        <v>45323.0</v>
      </c>
      <c r="M41" s="38"/>
    </row>
    <row r="42">
      <c r="A42" s="1" t="s">
        <v>815</v>
      </c>
      <c r="B42" s="1">
        <v>5.0</v>
      </c>
      <c r="C42" s="1">
        <v>14.0</v>
      </c>
      <c r="D42" s="1" t="s">
        <v>96</v>
      </c>
      <c r="E42" s="1" t="s">
        <v>133</v>
      </c>
      <c r="G42" s="1"/>
      <c r="J42" s="1" t="s">
        <v>39</v>
      </c>
      <c r="M42" s="38"/>
    </row>
    <row r="43">
      <c r="A43" s="1" t="s">
        <v>154</v>
      </c>
      <c r="B43" s="1">
        <v>6.0</v>
      </c>
      <c r="C43" s="1">
        <v>3.0</v>
      </c>
      <c r="D43" s="1" t="s">
        <v>96</v>
      </c>
      <c r="E43" s="1" t="s">
        <v>133</v>
      </c>
      <c r="G43" s="1"/>
      <c r="J43" s="1" t="s">
        <v>39</v>
      </c>
      <c r="M43" s="38"/>
    </row>
    <row r="44">
      <c r="A44" s="1" t="s">
        <v>270</v>
      </c>
      <c r="B44" s="1">
        <v>6.0</v>
      </c>
      <c r="C44" s="1">
        <v>30.0</v>
      </c>
      <c r="D44" s="1" t="s">
        <v>96</v>
      </c>
      <c r="E44" s="1" t="s">
        <v>133</v>
      </c>
      <c r="G44" s="1"/>
      <c r="J44" s="1" t="s">
        <v>18</v>
      </c>
      <c r="M44" s="38"/>
    </row>
    <row r="45">
      <c r="A45" s="1" t="s">
        <v>269</v>
      </c>
      <c r="B45" s="1">
        <v>7.0</v>
      </c>
      <c r="C45" s="1">
        <v>90.9</v>
      </c>
      <c r="D45" s="1" t="s">
        <v>96</v>
      </c>
      <c r="E45" s="1" t="s">
        <v>133</v>
      </c>
      <c r="G45" s="1"/>
      <c r="J45" s="1" t="s">
        <v>28</v>
      </c>
      <c r="M45" s="38"/>
    </row>
    <row r="46">
      <c r="A46" s="1" t="s">
        <v>154</v>
      </c>
      <c r="B46" s="1">
        <v>8.0</v>
      </c>
      <c r="C46" s="1">
        <v>4.0</v>
      </c>
      <c r="D46" s="1" t="s">
        <v>96</v>
      </c>
      <c r="E46" s="1" t="s">
        <v>133</v>
      </c>
      <c r="G46" s="1"/>
      <c r="J46" s="1" t="s">
        <v>39</v>
      </c>
      <c r="M46" s="38"/>
    </row>
    <row r="47">
      <c r="A47" s="1" t="s">
        <v>816</v>
      </c>
      <c r="B47" s="1">
        <v>8.0</v>
      </c>
      <c r="C47" s="1">
        <v>50.0</v>
      </c>
      <c r="D47" s="1" t="s">
        <v>96</v>
      </c>
      <c r="E47" s="1" t="s">
        <v>133</v>
      </c>
      <c r="G47" s="1"/>
      <c r="J47" s="1" t="s">
        <v>18</v>
      </c>
      <c r="M47" s="38"/>
    </row>
    <row r="48">
      <c r="A48" s="1" t="s">
        <v>289</v>
      </c>
      <c r="B48" s="1">
        <v>8.0</v>
      </c>
      <c r="C48" s="1">
        <v>39.47</v>
      </c>
      <c r="D48" s="1" t="s">
        <v>96</v>
      </c>
      <c r="E48" s="1" t="s">
        <v>133</v>
      </c>
      <c r="G48" s="1"/>
      <c r="J48" s="1" t="s">
        <v>32</v>
      </c>
      <c r="M48" s="38"/>
    </row>
    <row r="49">
      <c r="A49" s="1" t="s">
        <v>810</v>
      </c>
      <c r="B49" s="1">
        <v>9.0</v>
      </c>
      <c r="C49" s="1">
        <v>9.5</v>
      </c>
      <c r="D49" s="1" t="s">
        <v>96</v>
      </c>
      <c r="E49" s="1" t="s">
        <v>133</v>
      </c>
      <c r="G49" s="1"/>
      <c r="J49" s="1" t="s">
        <v>24</v>
      </c>
      <c r="M49" s="38"/>
    </row>
    <row r="50">
      <c r="A50" s="1" t="s">
        <v>270</v>
      </c>
      <c r="B50" s="1">
        <v>9.0</v>
      </c>
      <c r="C50" s="1">
        <v>50.0</v>
      </c>
      <c r="D50" s="1" t="s">
        <v>96</v>
      </c>
      <c r="E50" s="1" t="s">
        <v>133</v>
      </c>
      <c r="G50" s="1"/>
      <c r="J50" s="1" t="s">
        <v>18</v>
      </c>
      <c r="M50" s="38"/>
    </row>
    <row r="51">
      <c r="A51" s="1" t="s">
        <v>271</v>
      </c>
      <c r="B51" s="1">
        <v>10.0</v>
      </c>
      <c r="C51" s="1">
        <v>237.94</v>
      </c>
      <c r="D51" s="1" t="s">
        <v>96</v>
      </c>
      <c r="E51" s="1" t="s">
        <v>133</v>
      </c>
      <c r="G51" s="1"/>
      <c r="J51" s="1" t="s">
        <v>29</v>
      </c>
      <c r="M51" s="38"/>
    </row>
    <row r="52">
      <c r="A52" s="1" t="s">
        <v>817</v>
      </c>
      <c r="B52" s="1">
        <v>11.0</v>
      </c>
      <c r="C52" s="1">
        <v>29.99</v>
      </c>
      <c r="D52" s="1" t="s">
        <v>96</v>
      </c>
      <c r="E52" s="1" t="s">
        <v>133</v>
      </c>
      <c r="G52" s="1"/>
      <c r="J52" s="1" t="s">
        <v>32</v>
      </c>
      <c r="M52" s="38"/>
    </row>
    <row r="53">
      <c r="A53" s="1" t="s">
        <v>818</v>
      </c>
      <c r="B53" s="1">
        <v>11.0</v>
      </c>
      <c r="C53" s="1">
        <v>79.9</v>
      </c>
      <c r="D53" s="1" t="s">
        <v>96</v>
      </c>
      <c r="E53" s="1" t="s">
        <v>133</v>
      </c>
      <c r="G53" s="1"/>
      <c r="J53" s="1" t="s">
        <v>32</v>
      </c>
      <c r="M53" s="38"/>
    </row>
    <row r="54">
      <c r="A54" s="1" t="s">
        <v>154</v>
      </c>
      <c r="B54" s="1">
        <v>12.0</v>
      </c>
      <c r="C54" s="1">
        <v>3.0</v>
      </c>
      <c r="D54" s="1" t="s">
        <v>96</v>
      </c>
      <c r="E54" s="1" t="s">
        <v>133</v>
      </c>
      <c r="G54" s="1"/>
      <c r="J54" s="1" t="s">
        <v>39</v>
      </c>
      <c r="M54" s="38"/>
    </row>
    <row r="55">
      <c r="A55" s="1" t="s">
        <v>819</v>
      </c>
      <c r="B55" s="1">
        <v>12.0</v>
      </c>
      <c r="C55" s="1">
        <v>8.0</v>
      </c>
      <c r="D55" s="1" t="s">
        <v>96</v>
      </c>
      <c r="E55" s="1" t="s">
        <v>133</v>
      </c>
      <c r="G55" s="1"/>
      <c r="J55" s="1" t="s">
        <v>34</v>
      </c>
      <c r="M55" s="38"/>
    </row>
    <row r="56">
      <c r="A56" s="1" t="s">
        <v>820</v>
      </c>
      <c r="B56" s="1">
        <v>12.0</v>
      </c>
      <c r="C56" s="1">
        <v>52.66</v>
      </c>
      <c r="D56" s="1" t="s">
        <v>96</v>
      </c>
      <c r="E56" s="1" t="s">
        <v>133</v>
      </c>
      <c r="G56" s="1"/>
      <c r="J56" s="1" t="s">
        <v>18</v>
      </c>
      <c r="M56" s="38"/>
    </row>
    <row r="57">
      <c r="A57" s="1" t="s">
        <v>821</v>
      </c>
      <c r="B57" s="1">
        <v>12.0</v>
      </c>
      <c r="C57" s="1">
        <v>137.17</v>
      </c>
      <c r="D57" s="1" t="s">
        <v>96</v>
      </c>
      <c r="E57" s="1" t="s">
        <v>133</v>
      </c>
      <c r="G57" s="1"/>
      <c r="J57" s="1" t="s">
        <v>29</v>
      </c>
      <c r="M57" s="38"/>
    </row>
    <row r="58">
      <c r="A58" s="1" t="s">
        <v>822</v>
      </c>
      <c r="B58" s="1">
        <v>12.0</v>
      </c>
      <c r="C58" s="1">
        <v>33.8</v>
      </c>
      <c r="D58" s="1" t="s">
        <v>96</v>
      </c>
      <c r="E58" s="1" t="s">
        <v>133</v>
      </c>
      <c r="G58" s="1"/>
      <c r="J58" s="1" t="s">
        <v>18</v>
      </c>
      <c r="M58" s="38"/>
    </row>
    <row r="59">
      <c r="A59" s="1" t="s">
        <v>823</v>
      </c>
      <c r="B59" s="1">
        <v>13.0</v>
      </c>
      <c r="C59" s="1">
        <v>31.0</v>
      </c>
      <c r="D59" s="1" t="s">
        <v>96</v>
      </c>
      <c r="E59" s="1" t="s">
        <v>133</v>
      </c>
      <c r="G59" s="1"/>
      <c r="J59" s="1" t="s">
        <v>28</v>
      </c>
      <c r="M59" s="38"/>
    </row>
    <row r="60">
      <c r="A60" s="1" t="s">
        <v>165</v>
      </c>
      <c r="B60" s="1">
        <v>13.0</v>
      </c>
      <c r="C60" s="1">
        <v>139.81</v>
      </c>
      <c r="D60" s="1" t="s">
        <v>96</v>
      </c>
      <c r="E60" s="1" t="s">
        <v>133</v>
      </c>
      <c r="G60" s="1"/>
      <c r="J60" s="1" t="s">
        <v>29</v>
      </c>
      <c r="M60" s="38"/>
    </row>
    <row r="61">
      <c r="A61" s="1" t="s">
        <v>824</v>
      </c>
      <c r="B61" s="1">
        <v>13.0</v>
      </c>
      <c r="C61" s="1">
        <v>17.0</v>
      </c>
      <c r="D61" s="1" t="s">
        <v>96</v>
      </c>
      <c r="E61" s="1" t="s">
        <v>133</v>
      </c>
      <c r="G61" s="1"/>
      <c r="J61" s="1" t="s">
        <v>34</v>
      </c>
      <c r="M61" s="38"/>
    </row>
    <row r="62">
      <c r="A62" s="1" t="s">
        <v>154</v>
      </c>
      <c r="B62" s="1">
        <v>14.0</v>
      </c>
      <c r="C62" s="1">
        <v>4.0</v>
      </c>
      <c r="D62" s="1" t="s">
        <v>96</v>
      </c>
      <c r="E62" s="1" t="s">
        <v>133</v>
      </c>
      <c r="G62" s="1"/>
      <c r="J62" s="1" t="s">
        <v>39</v>
      </c>
      <c r="M62" s="38"/>
    </row>
    <row r="63">
      <c r="A63" s="1" t="s">
        <v>261</v>
      </c>
      <c r="B63" s="1">
        <v>15.0</v>
      </c>
      <c r="C63" s="1">
        <v>9.9</v>
      </c>
      <c r="D63" s="1" t="s">
        <v>96</v>
      </c>
      <c r="E63" s="1" t="s">
        <v>133</v>
      </c>
      <c r="G63" s="1"/>
      <c r="J63" s="1" t="s">
        <v>29</v>
      </c>
      <c r="M63" s="36" t="s">
        <v>476</v>
      </c>
    </row>
    <row r="64">
      <c r="A64" s="1" t="s">
        <v>798</v>
      </c>
      <c r="B64" s="1">
        <v>15.0</v>
      </c>
      <c r="C64" s="1">
        <v>250.0</v>
      </c>
      <c r="D64" s="1" t="s">
        <v>96</v>
      </c>
      <c r="E64" s="1" t="s">
        <v>133</v>
      </c>
      <c r="G64" s="1"/>
      <c r="J64" s="1" t="s">
        <v>41</v>
      </c>
      <c r="L64" s="42">
        <v>45323.0</v>
      </c>
      <c r="M64" s="36" t="s">
        <v>476</v>
      </c>
    </row>
    <row r="65">
      <c r="A65" s="1" t="s">
        <v>820</v>
      </c>
      <c r="B65" s="1">
        <v>15.0</v>
      </c>
      <c r="C65" s="1">
        <v>46.94</v>
      </c>
      <c r="D65" s="1" t="s">
        <v>96</v>
      </c>
      <c r="E65" s="1" t="s">
        <v>133</v>
      </c>
      <c r="G65" s="1"/>
      <c r="J65" s="1" t="s">
        <v>18</v>
      </c>
      <c r="M65" s="36" t="s">
        <v>476</v>
      </c>
    </row>
    <row r="66">
      <c r="A66" s="1" t="s">
        <v>385</v>
      </c>
      <c r="B66" s="1">
        <v>16.0</v>
      </c>
      <c r="C66" s="1">
        <v>72.28</v>
      </c>
      <c r="D66" s="1" t="s">
        <v>96</v>
      </c>
      <c r="E66" s="1" t="s">
        <v>133</v>
      </c>
      <c r="J66" s="1" t="s">
        <v>29</v>
      </c>
      <c r="M66" s="36" t="s">
        <v>476</v>
      </c>
    </row>
    <row r="67">
      <c r="A67" s="1" t="s">
        <v>154</v>
      </c>
      <c r="B67" s="1">
        <v>18.0</v>
      </c>
      <c r="C67" s="1">
        <v>4.0</v>
      </c>
      <c r="D67" s="1" t="s">
        <v>96</v>
      </c>
      <c r="E67" s="1" t="s">
        <v>133</v>
      </c>
      <c r="J67" s="1" t="s">
        <v>39</v>
      </c>
      <c r="M67" s="36" t="s">
        <v>476</v>
      </c>
    </row>
    <row r="68">
      <c r="A68" s="1" t="s">
        <v>233</v>
      </c>
      <c r="B68" s="1">
        <v>12.0</v>
      </c>
      <c r="C68" s="1">
        <v>756.75</v>
      </c>
      <c r="D68" s="1" t="s">
        <v>96</v>
      </c>
      <c r="E68" s="1" t="s">
        <v>117</v>
      </c>
      <c r="J68" s="1" t="s">
        <v>28</v>
      </c>
      <c r="M68" s="36" t="s">
        <v>476</v>
      </c>
    </row>
    <row r="69">
      <c r="A69" s="1" t="s">
        <v>825</v>
      </c>
      <c r="B69" s="1">
        <v>18.0</v>
      </c>
      <c r="C69" s="1">
        <v>50.0</v>
      </c>
      <c r="D69" s="1" t="s">
        <v>96</v>
      </c>
      <c r="E69" s="1" t="s">
        <v>133</v>
      </c>
      <c r="J69" s="1" t="s">
        <v>18</v>
      </c>
      <c r="M69" s="36" t="s">
        <v>476</v>
      </c>
    </row>
    <row r="70">
      <c r="A70" s="1" t="s">
        <v>398</v>
      </c>
      <c r="B70" s="1">
        <v>18.0</v>
      </c>
      <c r="C70" s="1">
        <v>64.0</v>
      </c>
      <c r="D70" s="1" t="s">
        <v>96</v>
      </c>
      <c r="E70" s="1" t="s">
        <v>133</v>
      </c>
      <c r="J70" s="1" t="s">
        <v>42</v>
      </c>
      <c r="M70" s="36" t="s">
        <v>476</v>
      </c>
    </row>
    <row r="71">
      <c r="A71" s="1" t="s">
        <v>245</v>
      </c>
      <c r="B71" s="1">
        <v>18.0</v>
      </c>
      <c r="C71" s="1">
        <v>29.9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41</v>
      </c>
      <c r="K71" s="42">
        <v>44959.0</v>
      </c>
      <c r="M71" s="36" t="s">
        <v>476</v>
      </c>
    </row>
    <row r="72">
      <c r="A72" s="1" t="s">
        <v>398</v>
      </c>
      <c r="B72" s="1">
        <v>19.0</v>
      </c>
      <c r="C72" s="1">
        <v>20.0</v>
      </c>
      <c r="D72" s="1" t="s">
        <v>96</v>
      </c>
      <c r="E72" s="1" t="s">
        <v>133</v>
      </c>
      <c r="J72" s="1" t="s">
        <v>42</v>
      </c>
      <c r="M72" s="36" t="s">
        <v>476</v>
      </c>
    </row>
    <row r="73">
      <c r="A73" s="1" t="s">
        <v>154</v>
      </c>
      <c r="B73" s="1">
        <v>20.0</v>
      </c>
      <c r="C73" s="1">
        <v>4.0</v>
      </c>
      <c r="D73" s="1" t="s">
        <v>96</v>
      </c>
      <c r="E73" s="1" t="s">
        <v>133</v>
      </c>
      <c r="J73" s="1" t="s">
        <v>39</v>
      </c>
      <c r="M73" s="36" t="s">
        <v>476</v>
      </c>
    </row>
    <row r="74">
      <c r="A74" s="1" t="s">
        <v>758</v>
      </c>
      <c r="B74" s="1">
        <v>20.0</v>
      </c>
      <c r="C74" s="1">
        <v>234.31</v>
      </c>
      <c r="D74" s="1" t="s">
        <v>96</v>
      </c>
      <c r="E74" s="1" t="s">
        <v>133</v>
      </c>
      <c r="J74" s="1" t="s">
        <v>29</v>
      </c>
      <c r="M74" s="36" t="s">
        <v>476</v>
      </c>
    </row>
    <row r="75">
      <c r="A75" s="1" t="s">
        <v>419</v>
      </c>
      <c r="B75" s="1">
        <v>21.0</v>
      </c>
      <c r="C75" s="1">
        <v>32.92</v>
      </c>
      <c r="D75" s="1" t="s">
        <v>96</v>
      </c>
      <c r="E75" s="1" t="s">
        <v>133</v>
      </c>
      <c r="J75" s="1" t="s">
        <v>29</v>
      </c>
      <c r="M75" s="36" t="s">
        <v>476</v>
      </c>
    </row>
    <row r="76">
      <c r="A76" s="1" t="s">
        <v>270</v>
      </c>
      <c r="B76" s="1">
        <v>21.0</v>
      </c>
      <c r="C76" s="1">
        <v>50.0</v>
      </c>
      <c r="D76" s="1" t="s">
        <v>96</v>
      </c>
      <c r="E76" s="1" t="s">
        <v>133</v>
      </c>
      <c r="J76" s="1" t="s">
        <v>18</v>
      </c>
      <c r="M76" s="36" t="s">
        <v>476</v>
      </c>
    </row>
    <row r="77">
      <c r="A77" s="1" t="s">
        <v>810</v>
      </c>
      <c r="B77" s="1">
        <v>22.0</v>
      </c>
      <c r="C77" s="1">
        <v>22.59</v>
      </c>
      <c r="D77" s="1" t="s">
        <v>96</v>
      </c>
      <c r="E77" s="1" t="s">
        <v>133</v>
      </c>
      <c r="J77" s="1" t="s">
        <v>24</v>
      </c>
      <c r="M77" s="36" t="s">
        <v>476</v>
      </c>
    </row>
    <row r="78">
      <c r="A78" s="1" t="s">
        <v>250</v>
      </c>
      <c r="B78" s="1">
        <v>22.0</v>
      </c>
      <c r="C78" s="1">
        <v>13.35</v>
      </c>
      <c r="D78" s="1" t="s">
        <v>96</v>
      </c>
      <c r="E78" s="1" t="s">
        <v>133</v>
      </c>
      <c r="J78" s="1" t="s">
        <v>24</v>
      </c>
      <c r="M78" s="36" t="s">
        <v>476</v>
      </c>
    </row>
    <row r="79">
      <c r="A79" s="1" t="s">
        <v>764</v>
      </c>
      <c r="B79" s="1">
        <v>23.0</v>
      </c>
      <c r="C79" s="1">
        <v>12.51</v>
      </c>
      <c r="D79" s="1" t="s">
        <v>96</v>
      </c>
      <c r="E79" s="1" t="s">
        <v>133</v>
      </c>
      <c r="J79" s="1" t="s">
        <v>29</v>
      </c>
      <c r="M79" s="36" t="s">
        <v>476</v>
      </c>
    </row>
    <row r="80">
      <c r="A80" s="1" t="s">
        <v>165</v>
      </c>
      <c r="B80" s="1">
        <v>23.0</v>
      </c>
      <c r="C80" s="1">
        <v>114.49</v>
      </c>
      <c r="D80" s="1" t="s">
        <v>96</v>
      </c>
      <c r="E80" s="1" t="s">
        <v>133</v>
      </c>
      <c r="J80" s="1" t="s">
        <v>29</v>
      </c>
      <c r="M80" s="38"/>
    </row>
    <row r="81">
      <c r="A81" s="1" t="s">
        <v>758</v>
      </c>
      <c r="B81" s="1">
        <v>24.0</v>
      </c>
      <c r="C81" s="1">
        <v>152.0</v>
      </c>
      <c r="D81" s="1" t="s">
        <v>96</v>
      </c>
      <c r="E81" s="1" t="s">
        <v>133</v>
      </c>
      <c r="J81" s="1" t="s">
        <v>29</v>
      </c>
      <c r="M81" s="38"/>
    </row>
    <row r="82">
      <c r="A82" s="1" t="s">
        <v>826</v>
      </c>
      <c r="B82" s="1">
        <v>0.0</v>
      </c>
      <c r="C82" s="1">
        <v>0.0</v>
      </c>
      <c r="D82" s="1" t="s">
        <v>96</v>
      </c>
      <c r="E82" s="1" t="s">
        <v>133</v>
      </c>
      <c r="J82" s="1" t="s">
        <v>18</v>
      </c>
      <c r="M82" s="38"/>
    </row>
    <row r="83">
      <c r="A83" s="1" t="s">
        <v>154</v>
      </c>
      <c r="B83" s="1">
        <v>0.0</v>
      </c>
      <c r="C83" s="1">
        <v>0.0</v>
      </c>
      <c r="D83" s="1" t="s">
        <v>96</v>
      </c>
      <c r="E83" s="1" t="s">
        <v>133</v>
      </c>
      <c r="J83" s="1" t="s">
        <v>39</v>
      </c>
      <c r="M83" s="38"/>
    </row>
    <row r="84">
      <c r="A84" s="1" t="s">
        <v>827</v>
      </c>
      <c r="B84" s="1">
        <v>0.0</v>
      </c>
      <c r="C84" s="1">
        <v>0.0</v>
      </c>
      <c r="D84" s="1" t="s">
        <v>96</v>
      </c>
      <c r="E84" s="1" t="s">
        <v>133</v>
      </c>
      <c r="J84" s="1" t="s">
        <v>34</v>
      </c>
      <c r="M84" s="38"/>
    </row>
    <row r="85">
      <c r="A85" s="1" t="s">
        <v>806</v>
      </c>
      <c r="B85" s="1">
        <v>0.0</v>
      </c>
      <c r="C85" s="1">
        <v>0.0</v>
      </c>
      <c r="D85" s="1" t="s">
        <v>96</v>
      </c>
      <c r="E85" s="1" t="s">
        <v>133</v>
      </c>
      <c r="J85" s="1" t="s">
        <v>30</v>
      </c>
      <c r="M85" s="38"/>
    </row>
    <row r="86">
      <c r="A86" s="1" t="s">
        <v>534</v>
      </c>
      <c r="B86" s="1">
        <v>0.0</v>
      </c>
      <c r="C86" s="1">
        <v>0.0</v>
      </c>
      <c r="D86" s="1" t="s">
        <v>96</v>
      </c>
      <c r="E86" s="1" t="s">
        <v>133</v>
      </c>
      <c r="J86" s="1" t="s">
        <v>34</v>
      </c>
      <c r="M86" s="38"/>
    </row>
    <row r="87">
      <c r="A87" s="1" t="s">
        <v>534</v>
      </c>
      <c r="B87" s="1">
        <v>0.0</v>
      </c>
      <c r="C87" s="1">
        <v>0.0</v>
      </c>
      <c r="D87" s="1" t="s">
        <v>96</v>
      </c>
      <c r="E87" s="1" t="s">
        <v>133</v>
      </c>
      <c r="J87" s="1" t="s">
        <v>34</v>
      </c>
      <c r="M87" s="38"/>
    </row>
    <row r="88">
      <c r="A88" s="1" t="s">
        <v>264</v>
      </c>
      <c r="B88" s="1">
        <v>0.0</v>
      </c>
      <c r="C88" s="1">
        <v>0.0</v>
      </c>
      <c r="D88" s="1" t="s">
        <v>96</v>
      </c>
      <c r="E88" s="1" t="s">
        <v>133</v>
      </c>
      <c r="J88" s="1" t="s">
        <v>20</v>
      </c>
      <c r="M88" s="38"/>
    </row>
    <row r="89">
      <c r="A89" s="1" t="s">
        <v>392</v>
      </c>
      <c r="B89" s="1">
        <v>0.0</v>
      </c>
      <c r="C89" s="1">
        <v>0.0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650</v>
      </c>
      <c r="B90" s="1">
        <v>0.0</v>
      </c>
      <c r="C90" s="1">
        <v>0.0</v>
      </c>
      <c r="D90" s="1" t="s">
        <v>96</v>
      </c>
      <c r="E90" s="1" t="s">
        <v>156</v>
      </c>
      <c r="J90" s="1" t="s">
        <v>29</v>
      </c>
      <c r="M90" s="38"/>
    </row>
    <row r="91">
      <c r="A91" s="1" t="s">
        <v>651</v>
      </c>
      <c r="B91" s="1">
        <v>0.0</v>
      </c>
      <c r="C91" s="1">
        <v>0.0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652</v>
      </c>
      <c r="B92" s="1">
        <v>0.0</v>
      </c>
      <c r="C92" s="1">
        <v>0.0</v>
      </c>
      <c r="D92" s="1" t="s">
        <v>96</v>
      </c>
      <c r="E92" s="1" t="s">
        <v>156</v>
      </c>
      <c r="J92" s="1" t="s">
        <v>42</v>
      </c>
      <c r="M92" s="38"/>
    </row>
    <row r="93">
      <c r="A93" s="1" t="s">
        <v>653</v>
      </c>
      <c r="B93" s="1">
        <v>0.0</v>
      </c>
      <c r="C93" s="1">
        <v>0.0</v>
      </c>
      <c r="D93" s="1" t="s">
        <v>96</v>
      </c>
      <c r="E93" s="1" t="s">
        <v>156</v>
      </c>
      <c r="J93" s="1" t="s">
        <v>42</v>
      </c>
      <c r="M93" s="38"/>
    </row>
    <row r="94">
      <c r="A94" s="1" t="s">
        <v>654</v>
      </c>
      <c r="B94" s="1">
        <v>0.0</v>
      </c>
      <c r="C94" s="1">
        <v>0.0</v>
      </c>
      <c r="D94" s="1" t="s">
        <v>96</v>
      </c>
      <c r="E94" s="1" t="s">
        <v>156</v>
      </c>
      <c r="J94" s="1" t="s">
        <v>28</v>
      </c>
      <c r="M94" s="38"/>
    </row>
    <row r="95">
      <c r="A95" s="1" t="s">
        <v>655</v>
      </c>
      <c r="B95" s="1">
        <v>0.0</v>
      </c>
      <c r="C95" s="1">
        <v>0.0</v>
      </c>
      <c r="D95" s="1" t="s">
        <v>96</v>
      </c>
      <c r="E95" s="1" t="s">
        <v>156</v>
      </c>
      <c r="J95" s="1" t="s">
        <v>21</v>
      </c>
      <c r="M95" s="38"/>
    </row>
    <row r="96">
      <c r="A96" s="1" t="s">
        <v>656</v>
      </c>
      <c r="B96" s="1">
        <v>0.0</v>
      </c>
      <c r="C96" s="1">
        <v>0.0</v>
      </c>
      <c r="D96" s="1" t="s">
        <v>96</v>
      </c>
      <c r="E96" s="1" t="s">
        <v>156</v>
      </c>
      <c r="J96" s="1" t="s">
        <v>28</v>
      </c>
      <c r="M96" s="38"/>
    </row>
    <row r="97">
      <c r="A97" s="1" t="s">
        <v>300</v>
      </c>
      <c r="B97" s="1">
        <v>0.0</v>
      </c>
      <c r="C97" s="1">
        <v>0.0</v>
      </c>
      <c r="D97" s="1" t="s">
        <v>96</v>
      </c>
      <c r="E97" s="1" t="s">
        <v>133</v>
      </c>
      <c r="J97" s="1" t="s">
        <v>29</v>
      </c>
      <c r="M97" s="38"/>
    </row>
    <row r="98">
      <c r="A98" s="1" t="s">
        <v>254</v>
      </c>
      <c r="B98" s="1">
        <v>0.0</v>
      </c>
      <c r="C98" s="1">
        <v>0.0</v>
      </c>
      <c r="D98" s="1" t="s">
        <v>96</v>
      </c>
      <c r="E98" s="1" t="s">
        <v>133</v>
      </c>
      <c r="J98" s="1" t="s">
        <v>15</v>
      </c>
      <c r="M98" s="38"/>
    </row>
    <row r="99">
      <c r="A99" s="1" t="s">
        <v>657</v>
      </c>
      <c r="B99" s="1">
        <v>0.0</v>
      </c>
      <c r="C99" s="1">
        <v>0.0</v>
      </c>
      <c r="D99" s="1" t="s">
        <v>96</v>
      </c>
      <c r="E99" s="1" t="s">
        <v>133</v>
      </c>
      <c r="J99" s="1" t="s">
        <v>31</v>
      </c>
      <c r="M99" s="38"/>
    </row>
    <row r="100">
      <c r="A100" s="1" t="s">
        <v>658</v>
      </c>
      <c r="B100" s="1">
        <v>0.0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444</v>
      </c>
      <c r="B101" s="1">
        <v>0.0</v>
      </c>
      <c r="C101" s="1">
        <v>0.0</v>
      </c>
      <c r="D101" s="1" t="s">
        <v>96</v>
      </c>
      <c r="E101" s="1" t="s">
        <v>133</v>
      </c>
      <c r="J101" s="1" t="s">
        <v>31</v>
      </c>
      <c r="M101" s="38"/>
    </row>
    <row r="102">
      <c r="A102" s="1"/>
      <c r="J102" s="14"/>
      <c r="M102" s="38"/>
    </row>
    <row r="103">
      <c r="A103" s="1" t="s">
        <v>236</v>
      </c>
      <c r="C103" s="1">
        <f>14000*0.3-(633.9)</f>
        <v>3566.1</v>
      </c>
      <c r="M103" s="38"/>
    </row>
    <row r="104">
      <c r="A104" s="1" t="s">
        <v>50</v>
      </c>
      <c r="C104" s="8">
        <f>SUM(C2:C101)</f>
        <v>8935.93</v>
      </c>
      <c r="D104" s="8">
        <f>(14000)-C104-C103</f>
        <v>1497.97</v>
      </c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6" t="s">
        <v>240</v>
      </c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B150" s="8"/>
      <c r="M150" s="38"/>
    </row>
    <row r="151">
      <c r="M151" s="38"/>
    </row>
    <row r="152">
      <c r="M152" s="38"/>
    </row>
    <row r="153">
      <c r="B153" s="8">
        <f>14000-B150</f>
        <v>14000</v>
      </c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</sheetData>
  <autoFilter ref="$A$1:$BV$17"/>
  <conditionalFormatting sqref="B153">
    <cfRule type="cellIs" dxfId="1" priority="1" operator="greaterThanOrEqual">
      <formula>0</formula>
    </cfRule>
  </conditionalFormatting>
  <conditionalFormatting sqref="B153">
    <cfRule type="cellIs" dxfId="2" priority="2" operator="lessThan">
      <formula>0</formula>
    </cfRule>
  </conditionalFormatting>
  <dataValidations>
    <dataValidation type="list" allowBlank="1" showErrorMessage="1" sqref="J2:J102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695.0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7.0</v>
      </c>
      <c r="C3" s="39">
        <f>(5405.68)-(5405.68*0.7636)+(1277-795)</f>
        <v>1759.902752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1" t="s">
        <v>106</v>
      </c>
      <c r="B5" s="1">
        <v>14.0</v>
      </c>
      <c r="C5" s="37">
        <v>800.0</v>
      </c>
      <c r="D5" s="1" t="s">
        <v>96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  <c r="M5" s="38"/>
    </row>
    <row r="6">
      <c r="A6" s="1" t="s">
        <v>111</v>
      </c>
      <c r="B6" s="1">
        <v>11.0</v>
      </c>
      <c r="C6" s="37">
        <v>129.0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60.0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809</v>
      </c>
      <c r="B23" s="1">
        <v>0.0</v>
      </c>
      <c r="C23" s="1">
        <v>69.0</v>
      </c>
      <c r="D23" s="1" t="s">
        <v>96</v>
      </c>
      <c r="E23" s="1" t="s">
        <v>105</v>
      </c>
      <c r="J23" s="1" t="s">
        <v>18</v>
      </c>
      <c r="M23" s="38"/>
    </row>
    <row r="24">
      <c r="A24" s="1" t="s">
        <v>828</v>
      </c>
      <c r="B24" s="1">
        <v>0.0</v>
      </c>
      <c r="C24" s="1">
        <v>10.6</v>
      </c>
      <c r="D24" s="1" t="s">
        <v>96</v>
      </c>
      <c r="E24" s="1" t="s">
        <v>105</v>
      </c>
      <c r="G24" s="1"/>
      <c r="J24" s="1" t="s">
        <v>28</v>
      </c>
      <c r="M24" s="38"/>
    </row>
    <row r="25">
      <c r="A25" s="1" t="s">
        <v>154</v>
      </c>
      <c r="B25" s="1">
        <v>0.0</v>
      </c>
      <c r="C25" s="1">
        <v>8.0</v>
      </c>
      <c r="D25" s="1" t="s">
        <v>96</v>
      </c>
      <c r="E25" s="1" t="s">
        <v>105</v>
      </c>
      <c r="G25" s="1"/>
      <c r="J25" s="1" t="s">
        <v>39</v>
      </c>
      <c r="M25" s="38"/>
    </row>
    <row r="26">
      <c r="A26" s="1" t="s">
        <v>269</v>
      </c>
      <c r="B26" s="1">
        <v>0.0</v>
      </c>
      <c r="C26" s="1">
        <v>31.9</v>
      </c>
      <c r="D26" s="1" t="s">
        <v>96</v>
      </c>
      <c r="E26" s="1" t="s">
        <v>105</v>
      </c>
      <c r="G26" s="1"/>
      <c r="J26" s="1" t="s">
        <v>28</v>
      </c>
      <c r="M26" s="38"/>
    </row>
    <row r="27">
      <c r="A27" s="1" t="s">
        <v>444</v>
      </c>
      <c r="B27" s="1">
        <v>0.0</v>
      </c>
      <c r="C27" s="1">
        <v>109.95</v>
      </c>
      <c r="D27" s="1" t="s">
        <v>96</v>
      </c>
      <c r="E27" s="1" t="s">
        <v>105</v>
      </c>
      <c r="G27" s="1"/>
      <c r="J27" s="1" t="s">
        <v>31</v>
      </c>
      <c r="M27" s="38"/>
    </row>
    <row r="28">
      <c r="A28" s="1" t="s">
        <v>829</v>
      </c>
      <c r="B28" s="1">
        <v>0.0</v>
      </c>
      <c r="C28" s="1">
        <v>22.99</v>
      </c>
      <c r="D28" s="1" t="s">
        <v>96</v>
      </c>
      <c r="E28" s="1" t="s">
        <v>133</v>
      </c>
      <c r="G28" s="1"/>
      <c r="J28" s="1" t="s">
        <v>40</v>
      </c>
      <c r="M28" s="38"/>
    </row>
    <row r="29">
      <c r="A29" s="1" t="s">
        <v>154</v>
      </c>
      <c r="B29" s="1">
        <v>0.0</v>
      </c>
      <c r="C29" s="1">
        <v>8.6</v>
      </c>
      <c r="D29" s="1" t="s">
        <v>96</v>
      </c>
      <c r="E29" s="1" t="s">
        <v>133</v>
      </c>
      <c r="G29" s="1"/>
      <c r="J29" s="1" t="s">
        <v>39</v>
      </c>
      <c r="M29" s="38"/>
    </row>
    <row r="30">
      <c r="A30" s="1" t="s">
        <v>770</v>
      </c>
      <c r="B30" s="1">
        <v>0.0</v>
      </c>
      <c r="C30" s="1">
        <v>25.63</v>
      </c>
      <c r="D30" s="1" t="s">
        <v>96</v>
      </c>
      <c r="E30" s="1" t="s">
        <v>133</v>
      </c>
      <c r="G30" s="1"/>
      <c r="J30" s="1" t="s">
        <v>40</v>
      </c>
      <c r="M30" s="38"/>
    </row>
    <row r="31">
      <c r="A31" s="1" t="s">
        <v>283</v>
      </c>
      <c r="B31" s="1">
        <v>0.0</v>
      </c>
      <c r="C31" s="1">
        <v>60.48</v>
      </c>
      <c r="D31" s="1" t="s">
        <v>96</v>
      </c>
      <c r="E31" s="1" t="s">
        <v>133</v>
      </c>
      <c r="G31" s="1"/>
      <c r="J31" s="1" t="s">
        <v>25</v>
      </c>
      <c r="M31" s="38"/>
    </row>
    <row r="32">
      <c r="A32" s="1" t="s">
        <v>830</v>
      </c>
      <c r="B32" s="1">
        <v>0.0</v>
      </c>
      <c r="C32" s="1">
        <v>33.0</v>
      </c>
      <c r="D32" s="1" t="s">
        <v>96</v>
      </c>
      <c r="E32" s="1" t="s">
        <v>133</v>
      </c>
      <c r="G32" s="1"/>
      <c r="J32" s="1" t="s">
        <v>40</v>
      </c>
      <c r="M32" s="38"/>
    </row>
    <row r="33">
      <c r="A33" s="1" t="s">
        <v>263</v>
      </c>
      <c r="B33" s="1">
        <v>0.0</v>
      </c>
      <c r="C33" s="1">
        <v>28.6</v>
      </c>
      <c r="D33" s="1" t="s">
        <v>96</v>
      </c>
      <c r="E33" s="1" t="s">
        <v>133</v>
      </c>
      <c r="G33" s="1"/>
      <c r="J33" s="1" t="s">
        <v>40</v>
      </c>
      <c r="M33" s="38"/>
    </row>
    <row r="34">
      <c r="A34" s="1" t="s">
        <v>831</v>
      </c>
      <c r="B34" s="1">
        <v>0.0</v>
      </c>
      <c r="C34" s="1">
        <v>25.98</v>
      </c>
      <c r="D34" s="1" t="s">
        <v>96</v>
      </c>
      <c r="E34" s="1" t="s">
        <v>133</v>
      </c>
      <c r="G34" s="1"/>
      <c r="J34" s="1" t="s">
        <v>40</v>
      </c>
      <c r="M34" s="38"/>
    </row>
    <row r="35">
      <c r="A35" s="1" t="s">
        <v>809</v>
      </c>
      <c r="B35" s="1">
        <v>0.0</v>
      </c>
      <c r="C35" s="1">
        <v>50.0</v>
      </c>
      <c r="D35" s="1" t="s">
        <v>96</v>
      </c>
      <c r="E35" s="1" t="s">
        <v>133</v>
      </c>
      <c r="G35" s="1"/>
      <c r="J35" s="1" t="s">
        <v>18</v>
      </c>
      <c r="M35" s="38"/>
    </row>
    <row r="36">
      <c r="A36" s="1" t="s">
        <v>832</v>
      </c>
      <c r="B36" s="1">
        <v>0.0</v>
      </c>
      <c r="C36" s="1">
        <v>16.0</v>
      </c>
      <c r="D36" s="1" t="s">
        <v>96</v>
      </c>
      <c r="E36" s="1" t="s">
        <v>133</v>
      </c>
      <c r="G36" s="1"/>
      <c r="J36" s="1" t="s">
        <v>29</v>
      </c>
      <c r="M36" s="38"/>
    </row>
    <row r="37">
      <c r="A37" s="1" t="s">
        <v>833</v>
      </c>
      <c r="B37" s="1">
        <v>0.0</v>
      </c>
      <c r="C37" s="1">
        <v>30.0</v>
      </c>
      <c r="D37" s="1" t="s">
        <v>96</v>
      </c>
      <c r="E37" s="1" t="s">
        <v>133</v>
      </c>
      <c r="G37" s="1"/>
      <c r="J37" s="1" t="s">
        <v>34</v>
      </c>
      <c r="M37" s="36" t="s">
        <v>43</v>
      </c>
    </row>
    <row r="38">
      <c r="A38" s="1" t="s">
        <v>154</v>
      </c>
      <c r="B38" s="1">
        <v>2.0</v>
      </c>
      <c r="C38" s="1">
        <v>4.0</v>
      </c>
      <c r="D38" s="1" t="s">
        <v>96</v>
      </c>
      <c r="E38" s="1" t="s">
        <v>133</v>
      </c>
      <c r="G38" s="1"/>
      <c r="J38" s="1" t="s">
        <v>39</v>
      </c>
      <c r="M38" s="38"/>
    </row>
    <row r="39">
      <c r="A39" s="1" t="s">
        <v>796</v>
      </c>
      <c r="B39" s="1">
        <v>3.0</v>
      </c>
      <c r="C39" s="1">
        <v>49.12</v>
      </c>
      <c r="D39" s="1" t="s">
        <v>96</v>
      </c>
      <c r="E39" s="1" t="s">
        <v>133</v>
      </c>
      <c r="G39" s="1"/>
      <c r="J39" s="1" t="s">
        <v>18</v>
      </c>
      <c r="M39" s="38"/>
    </row>
    <row r="40">
      <c r="A40" s="1" t="s">
        <v>617</v>
      </c>
      <c r="B40" s="1">
        <v>3.0</v>
      </c>
      <c r="C40" s="1">
        <v>87.96</v>
      </c>
      <c r="D40" s="1" t="s">
        <v>96</v>
      </c>
      <c r="E40" s="1" t="s">
        <v>133</v>
      </c>
      <c r="G40" s="1"/>
      <c r="J40" s="1" t="s">
        <v>29</v>
      </c>
      <c r="M40" s="38"/>
    </row>
    <row r="41">
      <c r="A41" s="1" t="s">
        <v>834</v>
      </c>
      <c r="B41" s="1">
        <v>3.0</v>
      </c>
      <c r="C41" s="1">
        <v>1000.0</v>
      </c>
      <c r="D41" s="1" t="s">
        <v>96</v>
      </c>
      <c r="E41" s="1" t="s">
        <v>133</v>
      </c>
      <c r="G41" s="1"/>
      <c r="J41" s="1" t="s">
        <v>28</v>
      </c>
      <c r="L41" s="42">
        <v>45323.0</v>
      </c>
      <c r="M41" s="38"/>
    </row>
    <row r="42">
      <c r="A42" s="1" t="s">
        <v>154</v>
      </c>
      <c r="B42" s="1">
        <v>4.0</v>
      </c>
      <c r="C42" s="1">
        <v>4.0</v>
      </c>
      <c r="D42" s="1" t="s">
        <v>96</v>
      </c>
      <c r="E42" s="1" t="s">
        <v>133</v>
      </c>
      <c r="G42" s="1"/>
      <c r="J42" s="1" t="s">
        <v>39</v>
      </c>
      <c r="M42" s="38"/>
    </row>
    <row r="43">
      <c r="A43" s="1" t="s">
        <v>835</v>
      </c>
      <c r="B43" s="1">
        <v>4.0</v>
      </c>
      <c r="C43" s="1">
        <v>33.03</v>
      </c>
      <c r="D43" s="1" t="s">
        <v>96</v>
      </c>
      <c r="E43" s="1" t="s">
        <v>133</v>
      </c>
      <c r="G43" s="1"/>
      <c r="J43" s="1" t="s">
        <v>29</v>
      </c>
      <c r="M43" s="38"/>
    </row>
    <row r="44">
      <c r="A44" s="1" t="s">
        <v>836</v>
      </c>
      <c r="B44" s="1">
        <v>4.0</v>
      </c>
      <c r="C44" s="1">
        <v>105.9</v>
      </c>
      <c r="D44" s="1" t="s">
        <v>96</v>
      </c>
      <c r="E44" s="1" t="s">
        <v>133</v>
      </c>
      <c r="G44" s="1"/>
      <c r="J44" s="1" t="s">
        <v>28</v>
      </c>
      <c r="M44" s="38"/>
    </row>
    <row r="45">
      <c r="A45" s="1" t="s">
        <v>165</v>
      </c>
      <c r="B45" s="1">
        <v>5.0</v>
      </c>
      <c r="C45" s="1">
        <v>132.25</v>
      </c>
      <c r="D45" s="1" t="s">
        <v>96</v>
      </c>
      <c r="E45" s="1" t="s">
        <v>133</v>
      </c>
      <c r="G45" s="1"/>
      <c r="J45" s="1" t="s">
        <v>29</v>
      </c>
      <c r="M45" s="38"/>
    </row>
    <row r="46">
      <c r="A46" s="1" t="s">
        <v>837</v>
      </c>
      <c r="B46" s="1">
        <v>7.0</v>
      </c>
      <c r="C46" s="1">
        <v>4.49</v>
      </c>
      <c r="D46" s="1" t="s">
        <v>96</v>
      </c>
      <c r="E46" s="1" t="s">
        <v>133</v>
      </c>
      <c r="G46" s="1"/>
      <c r="J46" s="1" t="s">
        <v>14</v>
      </c>
      <c r="M46" s="38"/>
    </row>
    <row r="47">
      <c r="A47" s="1" t="s">
        <v>838</v>
      </c>
      <c r="B47" s="1">
        <v>3.0</v>
      </c>
      <c r="C47" s="1">
        <v>980.0</v>
      </c>
      <c r="D47" s="1" t="s">
        <v>96</v>
      </c>
      <c r="E47" s="1" t="s">
        <v>156</v>
      </c>
      <c r="G47" s="1"/>
      <c r="J47" s="1" t="s">
        <v>28</v>
      </c>
      <c r="M47" s="38"/>
    </row>
    <row r="48">
      <c r="A48" s="1" t="s">
        <v>834</v>
      </c>
      <c r="B48" s="1">
        <v>3.0</v>
      </c>
      <c r="C48" s="1">
        <v>3375.0</v>
      </c>
      <c r="D48" s="1" t="s">
        <v>96</v>
      </c>
      <c r="E48" s="1" t="s">
        <v>156</v>
      </c>
      <c r="G48" s="1"/>
      <c r="J48" s="1" t="s">
        <v>28</v>
      </c>
      <c r="M48" s="38"/>
    </row>
    <row r="49">
      <c r="A49" s="1" t="s">
        <v>248</v>
      </c>
      <c r="B49" s="1">
        <v>0.0</v>
      </c>
      <c r="C49" s="1">
        <v>0.0</v>
      </c>
      <c r="D49" s="1" t="s">
        <v>96</v>
      </c>
      <c r="E49" s="1" t="s">
        <v>133</v>
      </c>
      <c r="G49" s="1"/>
      <c r="J49" s="1" t="s">
        <v>34</v>
      </c>
      <c r="M49" s="38"/>
    </row>
    <row r="50">
      <c r="A50" s="1" t="s">
        <v>617</v>
      </c>
      <c r="B50" s="1">
        <v>0.0</v>
      </c>
      <c r="C50" s="1">
        <v>0.0</v>
      </c>
      <c r="D50" s="1" t="s">
        <v>96</v>
      </c>
      <c r="E50" s="1" t="s">
        <v>133</v>
      </c>
      <c r="G50" s="1"/>
      <c r="J50" s="1" t="s">
        <v>29</v>
      </c>
      <c r="M50" s="38"/>
    </row>
    <row r="51">
      <c r="A51" s="1" t="s">
        <v>336</v>
      </c>
      <c r="B51" s="1">
        <v>0.0</v>
      </c>
      <c r="C51" s="1">
        <v>0.0</v>
      </c>
      <c r="D51" s="1" t="s">
        <v>96</v>
      </c>
      <c r="E51" s="1" t="s">
        <v>133</v>
      </c>
      <c r="G51" s="1"/>
      <c r="J51" s="1" t="s">
        <v>33</v>
      </c>
      <c r="M51" s="38"/>
    </row>
    <row r="52">
      <c r="A52" s="1" t="s">
        <v>835</v>
      </c>
      <c r="B52" s="1">
        <v>0.0</v>
      </c>
      <c r="C52" s="1">
        <v>0.0</v>
      </c>
      <c r="D52" s="1" t="s">
        <v>96</v>
      </c>
      <c r="E52" s="1" t="s">
        <v>133</v>
      </c>
      <c r="G52" s="1"/>
      <c r="J52" s="1" t="s">
        <v>29</v>
      </c>
      <c r="M52" s="38"/>
    </row>
    <row r="53">
      <c r="A53" s="1" t="s">
        <v>839</v>
      </c>
      <c r="B53" s="1">
        <v>0.0</v>
      </c>
      <c r="C53" s="1">
        <v>0.0</v>
      </c>
      <c r="D53" s="1" t="s">
        <v>96</v>
      </c>
      <c r="E53" s="1" t="s">
        <v>133</v>
      </c>
      <c r="G53" s="1"/>
      <c r="J53" s="1" t="s">
        <v>15</v>
      </c>
      <c r="M53" s="38"/>
    </row>
    <row r="54">
      <c r="A54" s="1" t="s">
        <v>165</v>
      </c>
      <c r="B54" s="1">
        <v>0.0</v>
      </c>
      <c r="C54" s="1">
        <v>0.0</v>
      </c>
      <c r="D54" s="1" t="s">
        <v>96</v>
      </c>
      <c r="E54" s="1" t="s">
        <v>133</v>
      </c>
      <c r="G54" s="1"/>
      <c r="J54" s="1" t="s">
        <v>29</v>
      </c>
      <c r="M54" s="38"/>
    </row>
    <row r="55">
      <c r="A55" s="1" t="s">
        <v>393</v>
      </c>
      <c r="B55" s="1">
        <v>0.0</v>
      </c>
      <c r="C55" s="1">
        <v>0.0</v>
      </c>
      <c r="D55" s="1" t="s">
        <v>96</v>
      </c>
      <c r="E55" s="1" t="s">
        <v>133</v>
      </c>
      <c r="G55" s="1"/>
      <c r="J55" s="1" t="s">
        <v>29</v>
      </c>
      <c r="M55" s="38"/>
    </row>
    <row r="56">
      <c r="A56" s="1" t="s">
        <v>840</v>
      </c>
      <c r="B56" s="1">
        <v>0.0</v>
      </c>
      <c r="C56" s="1">
        <v>0.0</v>
      </c>
      <c r="D56" s="1" t="s">
        <v>96</v>
      </c>
      <c r="E56" s="1" t="s">
        <v>133</v>
      </c>
      <c r="G56" s="1"/>
      <c r="J56" s="1" t="s">
        <v>34</v>
      </c>
      <c r="M56" s="38"/>
    </row>
    <row r="57">
      <c r="A57" s="1" t="s">
        <v>233</v>
      </c>
      <c r="B57" s="1">
        <v>0.0</v>
      </c>
      <c r="C57" s="1">
        <v>0.0</v>
      </c>
      <c r="D57" s="1" t="s">
        <v>96</v>
      </c>
      <c r="E57" s="1" t="s">
        <v>117</v>
      </c>
      <c r="G57" s="1"/>
      <c r="J57" s="1" t="s">
        <v>28</v>
      </c>
      <c r="M57" s="38"/>
    </row>
    <row r="58">
      <c r="A58" s="1" t="s">
        <v>841</v>
      </c>
      <c r="B58" s="1">
        <v>0.0</v>
      </c>
      <c r="C58" s="1">
        <v>0.0</v>
      </c>
      <c r="D58" s="1" t="s">
        <v>96</v>
      </c>
      <c r="E58" s="1" t="s">
        <v>132</v>
      </c>
      <c r="G58" s="1"/>
      <c r="J58" s="1" t="s">
        <v>28</v>
      </c>
      <c r="M58" s="38"/>
    </row>
    <row r="59">
      <c r="A59" s="1" t="s">
        <v>842</v>
      </c>
      <c r="B59" s="1">
        <v>0.0</v>
      </c>
      <c r="C59" s="1">
        <v>0.0</v>
      </c>
      <c r="D59" s="1" t="s">
        <v>96</v>
      </c>
      <c r="E59" s="1" t="s">
        <v>133</v>
      </c>
      <c r="G59" s="1"/>
      <c r="J59" s="1" t="s">
        <v>14</v>
      </c>
      <c r="M59" s="38"/>
    </row>
    <row r="60">
      <c r="A60" s="1" t="s">
        <v>843</v>
      </c>
      <c r="B60" s="1">
        <v>0.0</v>
      </c>
      <c r="C60" s="1">
        <v>0.0</v>
      </c>
      <c r="D60" s="1" t="s">
        <v>96</v>
      </c>
      <c r="E60" s="1" t="s">
        <v>133</v>
      </c>
      <c r="G60" s="1"/>
      <c r="J60" s="1" t="s">
        <v>28</v>
      </c>
      <c r="M60" s="38"/>
    </row>
    <row r="61">
      <c r="A61" s="1" t="s">
        <v>844</v>
      </c>
      <c r="B61" s="1">
        <v>0.0</v>
      </c>
      <c r="C61" s="1">
        <v>0.0</v>
      </c>
      <c r="D61" s="1" t="s">
        <v>96</v>
      </c>
      <c r="E61" s="1" t="s">
        <v>133</v>
      </c>
      <c r="G61" s="1"/>
      <c r="J61" s="1" t="s">
        <v>28</v>
      </c>
      <c r="M61" s="38"/>
    </row>
    <row r="62">
      <c r="A62" s="1" t="s">
        <v>845</v>
      </c>
      <c r="B62" s="1">
        <v>0.0</v>
      </c>
      <c r="C62" s="1">
        <v>0.0</v>
      </c>
      <c r="D62" s="1" t="s">
        <v>96</v>
      </c>
      <c r="E62" s="1" t="s">
        <v>133</v>
      </c>
      <c r="G62" s="1"/>
      <c r="J62" s="1" t="s">
        <v>28</v>
      </c>
      <c r="M62" s="38"/>
    </row>
    <row r="63">
      <c r="A63" s="1" t="s">
        <v>422</v>
      </c>
      <c r="B63" s="1">
        <v>0.0</v>
      </c>
      <c r="C63" s="1">
        <v>0.0</v>
      </c>
      <c r="D63" s="1" t="s">
        <v>96</v>
      </c>
      <c r="E63" s="1" t="s">
        <v>133</v>
      </c>
      <c r="G63" s="1"/>
      <c r="J63" s="1" t="s">
        <v>42</v>
      </c>
      <c r="M63" s="36" t="s">
        <v>476</v>
      </c>
    </row>
    <row r="64">
      <c r="A64" s="1" t="s">
        <v>261</v>
      </c>
      <c r="B64" s="1">
        <v>0.0</v>
      </c>
      <c r="C64" s="1">
        <v>0.0</v>
      </c>
      <c r="D64" s="1" t="s">
        <v>96</v>
      </c>
      <c r="E64" s="1" t="s">
        <v>133</v>
      </c>
      <c r="G64" s="1"/>
      <c r="J64" s="1" t="s">
        <v>29</v>
      </c>
      <c r="M64" s="36" t="s">
        <v>476</v>
      </c>
    </row>
    <row r="65">
      <c r="A65" s="1" t="s">
        <v>846</v>
      </c>
      <c r="B65" s="1">
        <v>0.0</v>
      </c>
      <c r="C65" s="1">
        <v>0.0</v>
      </c>
      <c r="D65" s="1" t="s">
        <v>96</v>
      </c>
      <c r="E65" s="1" t="s">
        <v>133</v>
      </c>
      <c r="G65" s="1"/>
      <c r="J65" s="1" t="s">
        <v>28</v>
      </c>
      <c r="M65" s="36" t="s">
        <v>476</v>
      </c>
    </row>
    <row r="66">
      <c r="A66" s="1" t="s">
        <v>165</v>
      </c>
      <c r="B66" s="1">
        <v>0.0</v>
      </c>
      <c r="C66" s="1">
        <v>0.0</v>
      </c>
      <c r="D66" s="1" t="s">
        <v>96</v>
      </c>
      <c r="E66" s="1" t="s">
        <v>133</v>
      </c>
      <c r="J66" s="1" t="s">
        <v>29</v>
      </c>
      <c r="M66" s="36" t="s">
        <v>476</v>
      </c>
    </row>
    <row r="67">
      <c r="A67" s="1" t="s">
        <v>264</v>
      </c>
      <c r="B67" s="1">
        <v>0.0</v>
      </c>
      <c r="C67" s="1">
        <v>0.0</v>
      </c>
      <c r="D67" s="1" t="s">
        <v>96</v>
      </c>
      <c r="E67" s="1" t="s">
        <v>133</v>
      </c>
      <c r="J67" s="1" t="s">
        <v>20</v>
      </c>
      <c r="M67" s="36" t="s">
        <v>476</v>
      </c>
    </row>
    <row r="68">
      <c r="A68" s="1" t="s">
        <v>534</v>
      </c>
      <c r="B68" s="1">
        <v>0.0</v>
      </c>
      <c r="C68" s="1">
        <v>0.0</v>
      </c>
      <c r="D68" s="1" t="s">
        <v>96</v>
      </c>
      <c r="E68" s="1" t="s">
        <v>133</v>
      </c>
      <c r="J68" s="1" t="s">
        <v>34</v>
      </c>
      <c r="M68" s="36" t="s">
        <v>476</v>
      </c>
    </row>
    <row r="69">
      <c r="A69" s="1" t="s">
        <v>847</v>
      </c>
      <c r="B69" s="1">
        <v>0.0</v>
      </c>
      <c r="C69" s="1">
        <v>0.0</v>
      </c>
      <c r="D69" s="1" t="s">
        <v>96</v>
      </c>
      <c r="E69" s="1" t="s">
        <v>133</v>
      </c>
      <c r="J69" s="1" t="s">
        <v>31</v>
      </c>
      <c r="M69" s="36" t="s">
        <v>476</v>
      </c>
    </row>
    <row r="70">
      <c r="A70" s="1" t="s">
        <v>263</v>
      </c>
      <c r="B70" s="1">
        <v>0.0</v>
      </c>
      <c r="C70" s="1">
        <v>0.0</v>
      </c>
      <c r="D70" s="1" t="s">
        <v>96</v>
      </c>
      <c r="E70" s="1" t="s">
        <v>133</v>
      </c>
      <c r="J70" s="1" t="s">
        <v>28</v>
      </c>
      <c r="M70" s="36" t="s">
        <v>476</v>
      </c>
    </row>
    <row r="71">
      <c r="A71" s="1" t="s">
        <v>809</v>
      </c>
      <c r="B71" s="1">
        <v>0.0</v>
      </c>
      <c r="C71" s="1">
        <v>0.0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18</v>
      </c>
      <c r="K71" s="42">
        <v>44959.0</v>
      </c>
      <c r="M71" s="36" t="s">
        <v>476</v>
      </c>
    </row>
    <row r="72">
      <c r="A72" s="1" t="s">
        <v>848</v>
      </c>
      <c r="B72" s="1">
        <v>0.0</v>
      </c>
      <c r="C72" s="1">
        <v>0.0</v>
      </c>
      <c r="D72" s="1" t="s">
        <v>96</v>
      </c>
      <c r="E72" s="1" t="s">
        <v>133</v>
      </c>
      <c r="J72" s="1" t="s">
        <v>32</v>
      </c>
      <c r="M72" s="36" t="s">
        <v>476</v>
      </c>
    </row>
    <row r="73">
      <c r="A73" s="1" t="s">
        <v>154</v>
      </c>
      <c r="B73" s="1">
        <v>0.0</v>
      </c>
      <c r="C73" s="1">
        <v>0.0</v>
      </c>
      <c r="D73" s="1" t="s">
        <v>96</v>
      </c>
      <c r="E73" s="1" t="s">
        <v>133</v>
      </c>
      <c r="J73" s="1" t="s">
        <v>39</v>
      </c>
      <c r="M73" s="36" t="s">
        <v>476</v>
      </c>
    </row>
    <row r="74">
      <c r="A74" s="1" t="s">
        <v>849</v>
      </c>
      <c r="B74" s="1">
        <v>0.0</v>
      </c>
      <c r="C74" s="1">
        <v>0.0</v>
      </c>
      <c r="D74" s="1" t="s">
        <v>96</v>
      </c>
      <c r="E74" s="1" t="s">
        <v>133</v>
      </c>
      <c r="J74" s="1" t="s">
        <v>24</v>
      </c>
      <c r="M74" s="36" t="s">
        <v>476</v>
      </c>
    </row>
    <row r="75">
      <c r="A75" s="1" t="s">
        <v>850</v>
      </c>
      <c r="B75" s="1">
        <v>0.0</v>
      </c>
      <c r="C75" s="1">
        <v>0.0</v>
      </c>
      <c r="D75" s="1" t="s">
        <v>96</v>
      </c>
      <c r="E75" s="1" t="s">
        <v>133</v>
      </c>
      <c r="J75" s="1" t="s">
        <v>28</v>
      </c>
      <c r="M75" s="36" t="s">
        <v>476</v>
      </c>
    </row>
    <row r="76">
      <c r="A76" s="1" t="s">
        <v>154</v>
      </c>
      <c r="B76" s="1">
        <v>0.0</v>
      </c>
      <c r="C76" s="1">
        <v>0.0</v>
      </c>
      <c r="D76" s="1" t="s">
        <v>96</v>
      </c>
      <c r="E76" s="1" t="s">
        <v>133</v>
      </c>
      <c r="J76" s="1" t="s">
        <v>39</v>
      </c>
      <c r="M76" s="36" t="s">
        <v>476</v>
      </c>
    </row>
    <row r="77">
      <c r="A77" s="1" t="s">
        <v>851</v>
      </c>
      <c r="B77" s="1">
        <v>0.0</v>
      </c>
      <c r="C77" s="1">
        <v>0.0</v>
      </c>
      <c r="D77" s="1" t="s">
        <v>96</v>
      </c>
      <c r="E77" s="1" t="s">
        <v>133</v>
      </c>
      <c r="J77" s="1" t="s">
        <v>34</v>
      </c>
      <c r="M77" s="36" t="s">
        <v>476</v>
      </c>
    </row>
    <row r="78">
      <c r="A78" s="1" t="s">
        <v>809</v>
      </c>
      <c r="B78" s="1">
        <v>0.0</v>
      </c>
      <c r="C78" s="1">
        <v>0.0</v>
      </c>
      <c r="D78" s="1" t="s">
        <v>96</v>
      </c>
      <c r="E78" s="1" t="s">
        <v>133</v>
      </c>
      <c r="J78" s="1" t="s">
        <v>18</v>
      </c>
      <c r="M78" s="36" t="s">
        <v>476</v>
      </c>
    </row>
    <row r="79">
      <c r="A79" s="1" t="s">
        <v>852</v>
      </c>
      <c r="B79" s="1">
        <v>0.0</v>
      </c>
      <c r="C79" s="1">
        <v>0.0</v>
      </c>
      <c r="D79" s="1" t="s">
        <v>96</v>
      </c>
      <c r="E79" s="1" t="s">
        <v>133</v>
      </c>
      <c r="J79" s="1" t="s">
        <v>34</v>
      </c>
      <c r="M79" s="36" t="s">
        <v>476</v>
      </c>
    </row>
    <row r="80">
      <c r="A80" s="1" t="s">
        <v>849</v>
      </c>
      <c r="B80" s="1">
        <v>0.0</v>
      </c>
      <c r="C80" s="1">
        <v>0.0</v>
      </c>
      <c r="D80" s="1" t="s">
        <v>96</v>
      </c>
      <c r="E80" s="1" t="s">
        <v>133</v>
      </c>
      <c r="J80" s="1" t="s">
        <v>32</v>
      </c>
      <c r="M80" s="38"/>
    </row>
    <row r="81">
      <c r="A81" s="1" t="s">
        <v>154</v>
      </c>
      <c r="B81" s="1">
        <v>0.0</v>
      </c>
      <c r="C81" s="1">
        <v>0.0</v>
      </c>
      <c r="D81" s="1" t="s">
        <v>96</v>
      </c>
      <c r="E81" s="1" t="s">
        <v>133</v>
      </c>
      <c r="J81" s="1" t="s">
        <v>39</v>
      </c>
      <c r="M81" s="38"/>
    </row>
    <row r="82">
      <c r="A82" s="1" t="s">
        <v>826</v>
      </c>
      <c r="B82" s="1">
        <v>0.0</v>
      </c>
      <c r="C82" s="1">
        <v>0.0</v>
      </c>
      <c r="D82" s="1" t="s">
        <v>96</v>
      </c>
      <c r="E82" s="1" t="s">
        <v>133</v>
      </c>
      <c r="J82" s="1" t="s">
        <v>18</v>
      </c>
      <c r="M82" s="38"/>
    </row>
    <row r="83">
      <c r="A83" s="1" t="s">
        <v>154</v>
      </c>
      <c r="B83" s="1">
        <v>0.0</v>
      </c>
      <c r="C83" s="1">
        <v>0.0</v>
      </c>
      <c r="D83" s="1" t="s">
        <v>96</v>
      </c>
      <c r="E83" s="1" t="s">
        <v>133</v>
      </c>
      <c r="J83" s="1" t="s">
        <v>39</v>
      </c>
      <c r="M83" s="38"/>
    </row>
    <row r="84">
      <c r="A84" s="1" t="s">
        <v>827</v>
      </c>
      <c r="B84" s="1">
        <v>0.0</v>
      </c>
      <c r="C84" s="1">
        <v>0.0</v>
      </c>
      <c r="D84" s="1" t="s">
        <v>96</v>
      </c>
      <c r="E84" s="1" t="s">
        <v>133</v>
      </c>
      <c r="J84" s="1" t="s">
        <v>34</v>
      </c>
      <c r="M84" s="38"/>
    </row>
    <row r="85">
      <c r="A85" s="1" t="s">
        <v>806</v>
      </c>
      <c r="B85" s="1">
        <v>0.0</v>
      </c>
      <c r="C85" s="1">
        <v>0.0</v>
      </c>
      <c r="D85" s="1" t="s">
        <v>96</v>
      </c>
      <c r="E85" s="1" t="s">
        <v>133</v>
      </c>
      <c r="J85" s="1" t="s">
        <v>30</v>
      </c>
      <c r="M85" s="38"/>
    </row>
    <row r="86">
      <c r="A86" s="1" t="s">
        <v>534</v>
      </c>
      <c r="B86" s="1">
        <v>0.0</v>
      </c>
      <c r="C86" s="1">
        <v>0.0</v>
      </c>
      <c r="D86" s="1" t="s">
        <v>96</v>
      </c>
      <c r="E86" s="1" t="s">
        <v>133</v>
      </c>
      <c r="J86" s="1" t="s">
        <v>34</v>
      </c>
      <c r="M86" s="38"/>
    </row>
    <row r="87">
      <c r="A87" s="1" t="s">
        <v>534</v>
      </c>
      <c r="B87" s="1">
        <v>0.0</v>
      </c>
      <c r="C87" s="1">
        <v>0.0</v>
      </c>
      <c r="D87" s="1" t="s">
        <v>96</v>
      </c>
      <c r="E87" s="1" t="s">
        <v>133</v>
      </c>
      <c r="J87" s="1" t="s">
        <v>34</v>
      </c>
      <c r="M87" s="38"/>
    </row>
    <row r="88">
      <c r="A88" s="1" t="s">
        <v>264</v>
      </c>
      <c r="B88" s="1">
        <v>0.0</v>
      </c>
      <c r="C88" s="1">
        <v>0.0</v>
      </c>
      <c r="D88" s="1" t="s">
        <v>96</v>
      </c>
      <c r="E88" s="1" t="s">
        <v>133</v>
      </c>
      <c r="J88" s="1" t="s">
        <v>20</v>
      </c>
      <c r="M88" s="38"/>
    </row>
    <row r="89">
      <c r="A89" s="1" t="s">
        <v>392</v>
      </c>
      <c r="B89" s="1">
        <v>0.0</v>
      </c>
      <c r="C89" s="1">
        <v>0.0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650</v>
      </c>
      <c r="B90" s="1">
        <v>0.0</v>
      </c>
      <c r="C90" s="1">
        <v>0.0</v>
      </c>
      <c r="D90" s="1" t="s">
        <v>96</v>
      </c>
      <c r="E90" s="1" t="s">
        <v>156</v>
      </c>
      <c r="J90" s="1" t="s">
        <v>29</v>
      </c>
      <c r="M90" s="38"/>
    </row>
    <row r="91">
      <c r="A91" s="1" t="s">
        <v>651</v>
      </c>
      <c r="B91" s="1">
        <v>0.0</v>
      </c>
      <c r="C91" s="1">
        <v>0.0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652</v>
      </c>
      <c r="B92" s="1">
        <v>0.0</v>
      </c>
      <c r="C92" s="1">
        <v>0.0</v>
      </c>
      <c r="D92" s="1" t="s">
        <v>96</v>
      </c>
      <c r="E92" s="1" t="s">
        <v>156</v>
      </c>
      <c r="J92" s="1" t="s">
        <v>42</v>
      </c>
      <c r="M92" s="38"/>
    </row>
    <row r="93">
      <c r="A93" s="1" t="s">
        <v>653</v>
      </c>
      <c r="B93" s="1">
        <v>0.0</v>
      </c>
      <c r="C93" s="1">
        <v>0.0</v>
      </c>
      <c r="D93" s="1" t="s">
        <v>96</v>
      </c>
      <c r="E93" s="1" t="s">
        <v>156</v>
      </c>
      <c r="J93" s="1" t="s">
        <v>42</v>
      </c>
      <c r="M93" s="38"/>
    </row>
    <row r="94">
      <c r="A94" s="1" t="s">
        <v>654</v>
      </c>
      <c r="B94" s="1">
        <v>0.0</v>
      </c>
      <c r="C94" s="1">
        <v>0.0</v>
      </c>
      <c r="D94" s="1" t="s">
        <v>96</v>
      </c>
      <c r="E94" s="1" t="s">
        <v>156</v>
      </c>
      <c r="J94" s="1" t="s">
        <v>28</v>
      </c>
      <c r="M94" s="38"/>
    </row>
    <row r="95">
      <c r="A95" s="1" t="s">
        <v>655</v>
      </c>
      <c r="B95" s="1">
        <v>0.0</v>
      </c>
      <c r="C95" s="1">
        <v>0.0</v>
      </c>
      <c r="D95" s="1" t="s">
        <v>96</v>
      </c>
      <c r="E95" s="1" t="s">
        <v>156</v>
      </c>
      <c r="J95" s="1" t="s">
        <v>21</v>
      </c>
      <c r="M95" s="38"/>
    </row>
    <row r="96">
      <c r="A96" s="1" t="s">
        <v>656</v>
      </c>
      <c r="B96" s="1">
        <v>0.0</v>
      </c>
      <c r="C96" s="1">
        <v>0.0</v>
      </c>
      <c r="D96" s="1" t="s">
        <v>96</v>
      </c>
      <c r="E96" s="1" t="s">
        <v>156</v>
      </c>
      <c r="J96" s="1" t="s">
        <v>28</v>
      </c>
      <c r="M96" s="38"/>
    </row>
    <row r="97">
      <c r="A97" s="1" t="s">
        <v>300</v>
      </c>
      <c r="B97" s="1">
        <v>0.0</v>
      </c>
      <c r="C97" s="1">
        <v>0.0</v>
      </c>
      <c r="D97" s="1" t="s">
        <v>96</v>
      </c>
      <c r="E97" s="1" t="s">
        <v>133</v>
      </c>
      <c r="J97" s="1" t="s">
        <v>29</v>
      </c>
      <c r="M97" s="38"/>
    </row>
    <row r="98">
      <c r="A98" s="1" t="s">
        <v>254</v>
      </c>
      <c r="B98" s="1">
        <v>0.0</v>
      </c>
      <c r="C98" s="1">
        <v>0.0</v>
      </c>
      <c r="D98" s="1" t="s">
        <v>96</v>
      </c>
      <c r="E98" s="1" t="s">
        <v>133</v>
      </c>
      <c r="J98" s="1" t="s">
        <v>15</v>
      </c>
      <c r="M98" s="38"/>
    </row>
    <row r="99">
      <c r="A99" s="1" t="s">
        <v>657</v>
      </c>
      <c r="B99" s="1">
        <v>0.0</v>
      </c>
      <c r="C99" s="1">
        <v>0.0</v>
      </c>
      <c r="D99" s="1" t="s">
        <v>96</v>
      </c>
      <c r="E99" s="1" t="s">
        <v>133</v>
      </c>
      <c r="J99" s="1" t="s">
        <v>31</v>
      </c>
      <c r="M99" s="38"/>
    </row>
    <row r="100">
      <c r="A100" s="1" t="s">
        <v>658</v>
      </c>
      <c r="B100" s="1">
        <v>0.0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444</v>
      </c>
      <c r="B101" s="1">
        <v>0.0</v>
      </c>
      <c r="C101" s="1">
        <v>0.0</v>
      </c>
      <c r="D101" s="1" t="s">
        <v>96</v>
      </c>
      <c r="E101" s="1" t="s">
        <v>133</v>
      </c>
      <c r="J101" s="1" t="s">
        <v>31</v>
      </c>
      <c r="M101" s="38"/>
    </row>
    <row r="102">
      <c r="A102" s="1"/>
      <c r="J102" s="14"/>
      <c r="M102" s="38"/>
    </row>
    <row r="103">
      <c r="A103" s="1" t="s">
        <v>236</v>
      </c>
      <c r="C103" s="1">
        <f>8892.96*0.3-(633.9)</f>
        <v>2033.988</v>
      </c>
      <c r="M103" s="38"/>
    </row>
    <row r="104">
      <c r="A104" s="1" t="s">
        <v>50</v>
      </c>
      <c r="C104" s="8">
        <f>SUM(C2:C101)</f>
        <v>10916.82275</v>
      </c>
      <c r="D104" s="8">
        <f>(8968.96+7000+3500)-C104-C103</f>
        <v>6518.149248</v>
      </c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6" t="s">
        <v>240</v>
      </c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M150" s="38"/>
    </row>
    <row r="151">
      <c r="M151" s="38"/>
    </row>
    <row r="152">
      <c r="M152" s="38"/>
    </row>
    <row r="153">
      <c r="B153" s="14">
        <f>8892+7000+3500-B151</f>
        <v>19392</v>
      </c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</sheetData>
  <autoFilter ref="$A$1:$BV$17"/>
  <conditionalFormatting sqref="B153">
    <cfRule type="cellIs" dxfId="1" priority="1" operator="greaterThanOrEqual">
      <formula>0</formula>
    </cfRule>
  </conditionalFormatting>
  <conditionalFormatting sqref="B153">
    <cfRule type="cellIs" dxfId="2" priority="2" operator="lessThan">
      <formula>0</formula>
    </cfRule>
  </conditionalFormatting>
  <dataValidations>
    <dataValidation type="list" allowBlank="1" showErrorMessage="1" sqref="J2:J102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7.0</v>
      </c>
      <c r="C3" s="39">
        <f>795</f>
        <v>795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1" t="s">
        <v>106</v>
      </c>
      <c r="B5" s="1">
        <v>14.0</v>
      </c>
      <c r="C5" s="37">
        <v>333.32</v>
      </c>
      <c r="D5" s="1" t="s">
        <v>96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  <c r="M5" s="38"/>
    </row>
    <row r="6">
      <c r="A6" s="1" t="s">
        <v>111</v>
      </c>
      <c r="B6" s="1">
        <v>11.0</v>
      </c>
      <c r="C6" s="37">
        <v>129.0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0.0</v>
      </c>
      <c r="D9" s="1" t="s">
        <v>120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100.0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60.0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809</v>
      </c>
      <c r="B23" s="1">
        <v>0.0</v>
      </c>
      <c r="C23" s="1">
        <v>69.0</v>
      </c>
      <c r="D23" s="1" t="s">
        <v>96</v>
      </c>
      <c r="E23" s="1" t="s">
        <v>105</v>
      </c>
      <c r="J23" s="1" t="s">
        <v>18</v>
      </c>
      <c r="M23" s="38"/>
    </row>
    <row r="24">
      <c r="A24" s="1" t="s">
        <v>828</v>
      </c>
      <c r="B24" s="1">
        <v>0.0</v>
      </c>
      <c r="C24" s="1">
        <v>10.6</v>
      </c>
      <c r="D24" s="1" t="s">
        <v>96</v>
      </c>
      <c r="E24" s="1" t="s">
        <v>105</v>
      </c>
      <c r="G24" s="1"/>
      <c r="J24" s="1" t="s">
        <v>28</v>
      </c>
      <c r="M24" s="38"/>
    </row>
    <row r="25">
      <c r="A25" s="1" t="s">
        <v>154</v>
      </c>
      <c r="B25" s="1">
        <v>0.0</v>
      </c>
      <c r="C25" s="1">
        <v>8.0</v>
      </c>
      <c r="D25" s="1" t="s">
        <v>96</v>
      </c>
      <c r="E25" s="1" t="s">
        <v>105</v>
      </c>
      <c r="G25" s="1"/>
      <c r="J25" s="1" t="s">
        <v>39</v>
      </c>
      <c r="M25" s="38"/>
    </row>
    <row r="26">
      <c r="A26" s="1" t="s">
        <v>269</v>
      </c>
      <c r="B26" s="1">
        <v>0.0</v>
      </c>
      <c r="C26" s="1">
        <v>31.9</v>
      </c>
      <c r="D26" s="1" t="s">
        <v>96</v>
      </c>
      <c r="E26" s="1" t="s">
        <v>105</v>
      </c>
      <c r="G26" s="1"/>
      <c r="J26" s="1" t="s">
        <v>28</v>
      </c>
      <c r="M26" s="38"/>
    </row>
    <row r="27">
      <c r="A27" s="1" t="s">
        <v>444</v>
      </c>
      <c r="B27" s="1">
        <v>0.0</v>
      </c>
      <c r="C27" s="1">
        <v>109.95</v>
      </c>
      <c r="D27" s="1" t="s">
        <v>96</v>
      </c>
      <c r="E27" s="1" t="s">
        <v>105</v>
      </c>
      <c r="G27" s="1"/>
      <c r="J27" s="1" t="s">
        <v>31</v>
      </c>
      <c r="M27" s="38"/>
    </row>
    <row r="28">
      <c r="A28" s="1" t="s">
        <v>829</v>
      </c>
      <c r="B28" s="1">
        <v>0.0</v>
      </c>
      <c r="C28" s="1">
        <v>22.99</v>
      </c>
      <c r="D28" s="1" t="s">
        <v>96</v>
      </c>
      <c r="E28" s="1" t="s">
        <v>133</v>
      </c>
      <c r="G28" s="1"/>
      <c r="J28" s="1" t="s">
        <v>40</v>
      </c>
      <c r="M28" s="38"/>
    </row>
    <row r="29">
      <c r="A29" s="1" t="s">
        <v>154</v>
      </c>
      <c r="B29" s="1">
        <v>0.0</v>
      </c>
      <c r="C29" s="1">
        <v>8.6</v>
      </c>
      <c r="D29" s="1" t="s">
        <v>96</v>
      </c>
      <c r="E29" s="1" t="s">
        <v>133</v>
      </c>
      <c r="G29" s="1"/>
      <c r="J29" s="1" t="s">
        <v>39</v>
      </c>
      <c r="M29" s="38"/>
    </row>
    <row r="30">
      <c r="A30" s="1" t="s">
        <v>770</v>
      </c>
      <c r="B30" s="1">
        <v>0.0</v>
      </c>
      <c r="C30" s="1">
        <v>25.63</v>
      </c>
      <c r="D30" s="1" t="s">
        <v>96</v>
      </c>
      <c r="E30" s="1" t="s">
        <v>133</v>
      </c>
      <c r="G30" s="1"/>
      <c r="J30" s="1" t="s">
        <v>40</v>
      </c>
      <c r="M30" s="38"/>
    </row>
    <row r="31">
      <c r="A31" s="1" t="s">
        <v>283</v>
      </c>
      <c r="B31" s="1">
        <v>0.0</v>
      </c>
      <c r="C31" s="1">
        <v>60.48</v>
      </c>
      <c r="D31" s="1" t="s">
        <v>96</v>
      </c>
      <c r="E31" s="1" t="s">
        <v>133</v>
      </c>
      <c r="G31" s="1"/>
      <c r="J31" s="1" t="s">
        <v>25</v>
      </c>
      <c r="M31" s="38"/>
    </row>
    <row r="32">
      <c r="A32" s="1" t="s">
        <v>830</v>
      </c>
      <c r="B32" s="1">
        <v>0.0</v>
      </c>
      <c r="C32" s="1">
        <v>33.0</v>
      </c>
      <c r="D32" s="1" t="s">
        <v>96</v>
      </c>
      <c r="E32" s="1" t="s">
        <v>133</v>
      </c>
      <c r="G32" s="1"/>
      <c r="J32" s="1" t="s">
        <v>40</v>
      </c>
      <c r="M32" s="38"/>
    </row>
    <row r="33">
      <c r="A33" s="1" t="s">
        <v>263</v>
      </c>
      <c r="B33" s="1">
        <v>0.0</v>
      </c>
      <c r="C33" s="1">
        <v>28.6</v>
      </c>
      <c r="D33" s="1" t="s">
        <v>96</v>
      </c>
      <c r="E33" s="1" t="s">
        <v>133</v>
      </c>
      <c r="G33" s="1"/>
      <c r="J33" s="1" t="s">
        <v>40</v>
      </c>
      <c r="M33" s="38"/>
    </row>
    <row r="34">
      <c r="A34" s="1" t="s">
        <v>831</v>
      </c>
      <c r="B34" s="1">
        <v>0.0</v>
      </c>
      <c r="C34" s="1">
        <v>25.98</v>
      </c>
      <c r="D34" s="1" t="s">
        <v>96</v>
      </c>
      <c r="E34" s="1" t="s">
        <v>133</v>
      </c>
      <c r="G34" s="1"/>
      <c r="J34" s="1" t="s">
        <v>40</v>
      </c>
      <c r="M34" s="38"/>
    </row>
    <row r="35">
      <c r="A35" s="1" t="s">
        <v>809</v>
      </c>
      <c r="B35" s="1">
        <v>0.0</v>
      </c>
      <c r="C35" s="1">
        <v>50.0</v>
      </c>
      <c r="D35" s="1" t="s">
        <v>96</v>
      </c>
      <c r="E35" s="1" t="s">
        <v>133</v>
      </c>
      <c r="G35" s="1"/>
      <c r="J35" s="1" t="s">
        <v>18</v>
      </c>
      <c r="M35" s="38"/>
    </row>
    <row r="36">
      <c r="A36" s="1" t="s">
        <v>832</v>
      </c>
      <c r="B36" s="1">
        <v>0.0</v>
      </c>
      <c r="C36" s="1">
        <v>16.0</v>
      </c>
      <c r="D36" s="1" t="s">
        <v>96</v>
      </c>
      <c r="E36" s="1" t="s">
        <v>133</v>
      </c>
      <c r="G36" s="1"/>
      <c r="J36" s="1" t="s">
        <v>29</v>
      </c>
      <c r="M36" s="38"/>
    </row>
    <row r="37">
      <c r="A37" s="1" t="s">
        <v>833</v>
      </c>
      <c r="B37" s="1">
        <v>0.0</v>
      </c>
      <c r="C37" s="1">
        <v>30.0</v>
      </c>
      <c r="D37" s="1" t="s">
        <v>96</v>
      </c>
      <c r="E37" s="1" t="s">
        <v>133</v>
      </c>
      <c r="G37" s="1"/>
      <c r="J37" s="1" t="s">
        <v>34</v>
      </c>
      <c r="M37" s="36" t="s">
        <v>43</v>
      </c>
    </row>
    <row r="38">
      <c r="A38" s="1" t="s">
        <v>154</v>
      </c>
      <c r="B38" s="1">
        <v>2.0</v>
      </c>
      <c r="C38" s="1">
        <v>4.0</v>
      </c>
      <c r="D38" s="1" t="s">
        <v>96</v>
      </c>
      <c r="E38" s="1" t="s">
        <v>133</v>
      </c>
      <c r="G38" s="1"/>
      <c r="J38" s="1" t="s">
        <v>39</v>
      </c>
      <c r="M38" s="38"/>
    </row>
    <row r="39">
      <c r="A39" s="1" t="s">
        <v>796</v>
      </c>
      <c r="B39" s="1">
        <v>3.0</v>
      </c>
      <c r="C39" s="1">
        <v>49.12</v>
      </c>
      <c r="D39" s="1" t="s">
        <v>96</v>
      </c>
      <c r="E39" s="1" t="s">
        <v>133</v>
      </c>
      <c r="G39" s="1"/>
      <c r="J39" s="1" t="s">
        <v>18</v>
      </c>
      <c r="M39" s="38"/>
    </row>
    <row r="40">
      <c r="A40" s="1" t="s">
        <v>617</v>
      </c>
      <c r="B40" s="1">
        <v>3.0</v>
      </c>
      <c r="C40" s="1">
        <v>87.96</v>
      </c>
      <c r="D40" s="1" t="s">
        <v>96</v>
      </c>
      <c r="E40" s="1" t="s">
        <v>133</v>
      </c>
      <c r="G40" s="1"/>
      <c r="J40" s="1" t="s">
        <v>29</v>
      </c>
      <c r="M40" s="38"/>
    </row>
    <row r="41">
      <c r="A41" s="1" t="s">
        <v>834</v>
      </c>
      <c r="B41" s="1">
        <v>3.0</v>
      </c>
      <c r="C41" s="1">
        <v>1000.0</v>
      </c>
      <c r="D41" s="1" t="s">
        <v>96</v>
      </c>
      <c r="E41" s="1" t="s">
        <v>133</v>
      </c>
      <c r="G41" s="1"/>
      <c r="J41" s="1" t="s">
        <v>28</v>
      </c>
      <c r="L41" s="42">
        <v>45323.0</v>
      </c>
      <c r="M41" s="38"/>
    </row>
    <row r="42">
      <c r="A42" s="1" t="s">
        <v>154</v>
      </c>
      <c r="B42" s="1">
        <v>4.0</v>
      </c>
      <c r="C42" s="1">
        <v>4.0</v>
      </c>
      <c r="D42" s="1" t="s">
        <v>96</v>
      </c>
      <c r="E42" s="1" t="s">
        <v>133</v>
      </c>
      <c r="G42" s="1"/>
      <c r="J42" s="1" t="s">
        <v>39</v>
      </c>
      <c r="M42" s="38"/>
    </row>
    <row r="43">
      <c r="A43" s="1" t="s">
        <v>835</v>
      </c>
      <c r="B43" s="1">
        <v>4.0</v>
      </c>
      <c r="C43" s="1">
        <v>33.03</v>
      </c>
      <c r="D43" s="1" t="s">
        <v>96</v>
      </c>
      <c r="E43" s="1" t="s">
        <v>133</v>
      </c>
      <c r="G43" s="1"/>
      <c r="J43" s="1" t="s">
        <v>29</v>
      </c>
      <c r="M43" s="38"/>
    </row>
    <row r="44">
      <c r="A44" s="1" t="s">
        <v>836</v>
      </c>
      <c r="B44" s="1">
        <v>4.0</v>
      </c>
      <c r="C44" s="1">
        <v>105.9</v>
      </c>
      <c r="D44" s="1" t="s">
        <v>96</v>
      </c>
      <c r="E44" s="1" t="s">
        <v>133</v>
      </c>
      <c r="G44" s="1"/>
      <c r="J44" s="1" t="s">
        <v>28</v>
      </c>
      <c r="M44" s="38"/>
    </row>
    <row r="45">
      <c r="A45" s="1" t="s">
        <v>165</v>
      </c>
      <c r="B45" s="1">
        <v>5.0</v>
      </c>
      <c r="C45" s="1">
        <v>132.25</v>
      </c>
      <c r="D45" s="1" t="s">
        <v>96</v>
      </c>
      <c r="E45" s="1" t="s">
        <v>133</v>
      </c>
      <c r="G45" s="1"/>
      <c r="J45" s="1" t="s">
        <v>29</v>
      </c>
      <c r="M45" s="38"/>
    </row>
    <row r="46">
      <c r="A46" s="1" t="s">
        <v>837</v>
      </c>
      <c r="B46" s="1">
        <v>7.0</v>
      </c>
      <c r="C46" s="1">
        <v>4.49</v>
      </c>
      <c r="D46" s="1" t="s">
        <v>96</v>
      </c>
      <c r="E46" s="1" t="s">
        <v>133</v>
      </c>
      <c r="G46" s="1"/>
      <c r="J46" s="1" t="s">
        <v>14</v>
      </c>
      <c r="M46" s="38"/>
    </row>
    <row r="47">
      <c r="A47" s="1" t="s">
        <v>838</v>
      </c>
      <c r="B47" s="1">
        <v>3.0</v>
      </c>
      <c r="C47" s="1">
        <v>980.0</v>
      </c>
      <c r="D47" s="1" t="s">
        <v>96</v>
      </c>
      <c r="E47" s="1" t="s">
        <v>156</v>
      </c>
      <c r="G47" s="1"/>
      <c r="J47" s="1" t="s">
        <v>28</v>
      </c>
      <c r="M47" s="38"/>
    </row>
    <row r="48">
      <c r="A48" s="1" t="s">
        <v>834</v>
      </c>
      <c r="B48" s="1">
        <v>3.0</v>
      </c>
      <c r="C48" s="1">
        <v>3375.0</v>
      </c>
      <c r="D48" s="1" t="s">
        <v>96</v>
      </c>
      <c r="E48" s="1" t="s">
        <v>156</v>
      </c>
      <c r="G48" s="1"/>
      <c r="J48" s="1" t="s">
        <v>28</v>
      </c>
      <c r="M48" s="38"/>
    </row>
    <row r="49">
      <c r="A49" s="1" t="s">
        <v>248</v>
      </c>
      <c r="B49" s="1">
        <v>0.0</v>
      </c>
      <c r="C49" s="1">
        <v>0.0</v>
      </c>
      <c r="D49" s="1" t="s">
        <v>96</v>
      </c>
      <c r="E49" s="1" t="s">
        <v>133</v>
      </c>
      <c r="G49" s="1"/>
      <c r="J49" s="1" t="s">
        <v>34</v>
      </c>
      <c r="M49" s="38"/>
    </row>
    <row r="50">
      <c r="A50" s="1" t="s">
        <v>617</v>
      </c>
      <c r="B50" s="1">
        <v>0.0</v>
      </c>
      <c r="C50" s="1">
        <v>0.0</v>
      </c>
      <c r="D50" s="1" t="s">
        <v>96</v>
      </c>
      <c r="E50" s="1" t="s">
        <v>133</v>
      </c>
      <c r="G50" s="1"/>
      <c r="J50" s="1" t="s">
        <v>29</v>
      </c>
      <c r="M50" s="38"/>
    </row>
    <row r="51">
      <c r="A51" s="1" t="s">
        <v>336</v>
      </c>
      <c r="B51" s="1">
        <v>0.0</v>
      </c>
      <c r="C51" s="1">
        <v>0.0</v>
      </c>
      <c r="D51" s="1" t="s">
        <v>96</v>
      </c>
      <c r="E51" s="1" t="s">
        <v>133</v>
      </c>
      <c r="G51" s="1"/>
      <c r="J51" s="1" t="s">
        <v>33</v>
      </c>
      <c r="M51" s="38"/>
    </row>
    <row r="52">
      <c r="A52" s="1" t="s">
        <v>835</v>
      </c>
      <c r="B52" s="1">
        <v>0.0</v>
      </c>
      <c r="C52" s="1">
        <v>0.0</v>
      </c>
      <c r="D52" s="1" t="s">
        <v>96</v>
      </c>
      <c r="E52" s="1" t="s">
        <v>133</v>
      </c>
      <c r="G52" s="1"/>
      <c r="J52" s="1" t="s">
        <v>29</v>
      </c>
      <c r="M52" s="38"/>
    </row>
    <row r="53">
      <c r="A53" s="1" t="s">
        <v>839</v>
      </c>
      <c r="B53" s="1">
        <v>0.0</v>
      </c>
      <c r="C53" s="1">
        <v>0.0</v>
      </c>
      <c r="D53" s="1" t="s">
        <v>96</v>
      </c>
      <c r="E53" s="1" t="s">
        <v>133</v>
      </c>
      <c r="G53" s="1"/>
      <c r="J53" s="1" t="s">
        <v>15</v>
      </c>
      <c r="M53" s="38"/>
    </row>
    <row r="54">
      <c r="A54" s="1" t="s">
        <v>165</v>
      </c>
      <c r="B54" s="1">
        <v>0.0</v>
      </c>
      <c r="C54" s="1">
        <v>0.0</v>
      </c>
      <c r="D54" s="1" t="s">
        <v>96</v>
      </c>
      <c r="E54" s="1" t="s">
        <v>133</v>
      </c>
      <c r="G54" s="1"/>
      <c r="J54" s="1" t="s">
        <v>29</v>
      </c>
      <c r="M54" s="38"/>
    </row>
    <row r="55">
      <c r="A55" s="1" t="s">
        <v>393</v>
      </c>
      <c r="B55" s="1">
        <v>0.0</v>
      </c>
      <c r="C55" s="1">
        <v>0.0</v>
      </c>
      <c r="D55" s="1" t="s">
        <v>96</v>
      </c>
      <c r="E55" s="1" t="s">
        <v>133</v>
      </c>
      <c r="G55" s="1"/>
      <c r="J55" s="1" t="s">
        <v>29</v>
      </c>
      <c r="M55" s="38"/>
    </row>
    <row r="56">
      <c r="A56" s="1" t="s">
        <v>840</v>
      </c>
      <c r="B56" s="1">
        <v>0.0</v>
      </c>
      <c r="C56" s="1">
        <v>0.0</v>
      </c>
      <c r="D56" s="1" t="s">
        <v>96</v>
      </c>
      <c r="E56" s="1" t="s">
        <v>133</v>
      </c>
      <c r="G56" s="1"/>
      <c r="J56" s="1" t="s">
        <v>34</v>
      </c>
      <c r="M56" s="38"/>
    </row>
    <row r="57">
      <c r="A57" s="1" t="s">
        <v>233</v>
      </c>
      <c r="B57" s="1">
        <v>0.0</v>
      </c>
      <c r="C57" s="1">
        <v>0.0</v>
      </c>
      <c r="D57" s="1" t="s">
        <v>96</v>
      </c>
      <c r="E57" s="1" t="s">
        <v>117</v>
      </c>
      <c r="G57" s="1"/>
      <c r="J57" s="1" t="s">
        <v>28</v>
      </c>
      <c r="M57" s="38"/>
    </row>
    <row r="58">
      <c r="A58" s="1" t="s">
        <v>841</v>
      </c>
      <c r="B58" s="1">
        <v>0.0</v>
      </c>
      <c r="C58" s="1">
        <v>0.0</v>
      </c>
      <c r="D58" s="1" t="s">
        <v>96</v>
      </c>
      <c r="E58" s="1" t="s">
        <v>132</v>
      </c>
      <c r="G58" s="1"/>
      <c r="J58" s="1" t="s">
        <v>28</v>
      </c>
      <c r="M58" s="38"/>
    </row>
    <row r="59">
      <c r="A59" s="1" t="s">
        <v>842</v>
      </c>
      <c r="B59" s="1">
        <v>0.0</v>
      </c>
      <c r="C59" s="1">
        <v>0.0</v>
      </c>
      <c r="D59" s="1" t="s">
        <v>96</v>
      </c>
      <c r="E59" s="1" t="s">
        <v>133</v>
      </c>
      <c r="G59" s="1"/>
      <c r="J59" s="1" t="s">
        <v>14</v>
      </c>
      <c r="M59" s="38"/>
    </row>
    <row r="60">
      <c r="A60" s="1" t="s">
        <v>843</v>
      </c>
      <c r="B60" s="1">
        <v>0.0</v>
      </c>
      <c r="C60" s="1">
        <v>0.0</v>
      </c>
      <c r="D60" s="1" t="s">
        <v>96</v>
      </c>
      <c r="E60" s="1" t="s">
        <v>133</v>
      </c>
      <c r="G60" s="1"/>
      <c r="J60" s="1" t="s">
        <v>28</v>
      </c>
      <c r="M60" s="38"/>
    </row>
    <row r="61">
      <c r="A61" s="1" t="s">
        <v>844</v>
      </c>
      <c r="B61" s="1">
        <v>0.0</v>
      </c>
      <c r="C61" s="1">
        <v>0.0</v>
      </c>
      <c r="D61" s="1" t="s">
        <v>96</v>
      </c>
      <c r="E61" s="1" t="s">
        <v>133</v>
      </c>
      <c r="G61" s="1"/>
      <c r="J61" s="1" t="s">
        <v>28</v>
      </c>
      <c r="M61" s="38"/>
    </row>
    <row r="62">
      <c r="A62" s="1" t="s">
        <v>845</v>
      </c>
      <c r="B62" s="1">
        <v>0.0</v>
      </c>
      <c r="C62" s="1">
        <v>0.0</v>
      </c>
      <c r="D62" s="1" t="s">
        <v>96</v>
      </c>
      <c r="E62" s="1" t="s">
        <v>133</v>
      </c>
      <c r="G62" s="1"/>
      <c r="J62" s="1" t="s">
        <v>28</v>
      </c>
      <c r="M62" s="38"/>
    </row>
    <row r="63">
      <c r="A63" s="1" t="s">
        <v>422</v>
      </c>
      <c r="B63" s="1">
        <v>0.0</v>
      </c>
      <c r="C63" s="1">
        <v>0.0</v>
      </c>
      <c r="D63" s="1" t="s">
        <v>96</v>
      </c>
      <c r="E63" s="1" t="s">
        <v>133</v>
      </c>
      <c r="G63" s="1"/>
      <c r="J63" s="1" t="s">
        <v>42</v>
      </c>
      <c r="M63" s="36" t="s">
        <v>476</v>
      </c>
    </row>
    <row r="64">
      <c r="A64" s="1" t="s">
        <v>261</v>
      </c>
      <c r="B64" s="1">
        <v>0.0</v>
      </c>
      <c r="C64" s="1">
        <v>0.0</v>
      </c>
      <c r="D64" s="1" t="s">
        <v>96</v>
      </c>
      <c r="E64" s="1" t="s">
        <v>133</v>
      </c>
      <c r="G64" s="1"/>
      <c r="J64" s="1" t="s">
        <v>29</v>
      </c>
      <c r="M64" s="36" t="s">
        <v>476</v>
      </c>
    </row>
    <row r="65">
      <c r="A65" s="1" t="s">
        <v>846</v>
      </c>
      <c r="B65" s="1">
        <v>0.0</v>
      </c>
      <c r="C65" s="1">
        <v>0.0</v>
      </c>
      <c r="D65" s="1" t="s">
        <v>96</v>
      </c>
      <c r="E65" s="1" t="s">
        <v>133</v>
      </c>
      <c r="G65" s="1"/>
      <c r="J65" s="1" t="s">
        <v>28</v>
      </c>
      <c r="M65" s="36" t="s">
        <v>476</v>
      </c>
    </row>
    <row r="66">
      <c r="A66" s="1" t="s">
        <v>165</v>
      </c>
      <c r="B66" s="1">
        <v>0.0</v>
      </c>
      <c r="C66" s="1">
        <v>0.0</v>
      </c>
      <c r="D66" s="1" t="s">
        <v>96</v>
      </c>
      <c r="E66" s="1" t="s">
        <v>133</v>
      </c>
      <c r="J66" s="1" t="s">
        <v>29</v>
      </c>
      <c r="M66" s="36" t="s">
        <v>476</v>
      </c>
    </row>
    <row r="67">
      <c r="A67" s="1" t="s">
        <v>264</v>
      </c>
      <c r="B67" s="1">
        <v>0.0</v>
      </c>
      <c r="C67" s="1">
        <v>0.0</v>
      </c>
      <c r="D67" s="1" t="s">
        <v>96</v>
      </c>
      <c r="E67" s="1" t="s">
        <v>133</v>
      </c>
      <c r="J67" s="1" t="s">
        <v>20</v>
      </c>
      <c r="M67" s="36" t="s">
        <v>476</v>
      </c>
    </row>
    <row r="68">
      <c r="A68" s="1" t="s">
        <v>534</v>
      </c>
      <c r="B68" s="1">
        <v>0.0</v>
      </c>
      <c r="C68" s="1">
        <v>0.0</v>
      </c>
      <c r="D68" s="1" t="s">
        <v>96</v>
      </c>
      <c r="E68" s="1" t="s">
        <v>133</v>
      </c>
      <c r="J68" s="1" t="s">
        <v>34</v>
      </c>
      <c r="M68" s="36" t="s">
        <v>476</v>
      </c>
    </row>
    <row r="69">
      <c r="A69" s="1" t="s">
        <v>847</v>
      </c>
      <c r="B69" s="1">
        <v>0.0</v>
      </c>
      <c r="C69" s="1">
        <v>0.0</v>
      </c>
      <c r="D69" s="1" t="s">
        <v>96</v>
      </c>
      <c r="E69" s="1" t="s">
        <v>133</v>
      </c>
      <c r="J69" s="1" t="s">
        <v>31</v>
      </c>
      <c r="M69" s="36" t="s">
        <v>476</v>
      </c>
    </row>
    <row r="70">
      <c r="A70" s="1" t="s">
        <v>263</v>
      </c>
      <c r="B70" s="1">
        <v>0.0</v>
      </c>
      <c r="C70" s="1">
        <v>0.0</v>
      </c>
      <c r="D70" s="1" t="s">
        <v>96</v>
      </c>
      <c r="E70" s="1" t="s">
        <v>133</v>
      </c>
      <c r="J70" s="1" t="s">
        <v>28</v>
      </c>
      <c r="M70" s="36" t="s">
        <v>476</v>
      </c>
    </row>
    <row r="71">
      <c r="A71" s="1" t="s">
        <v>809</v>
      </c>
      <c r="B71" s="1">
        <v>0.0</v>
      </c>
      <c r="C71" s="1">
        <v>0.0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18</v>
      </c>
      <c r="K71" s="42">
        <v>44959.0</v>
      </c>
      <c r="M71" s="36" t="s">
        <v>476</v>
      </c>
    </row>
    <row r="72">
      <c r="A72" s="1" t="s">
        <v>848</v>
      </c>
      <c r="B72" s="1">
        <v>0.0</v>
      </c>
      <c r="C72" s="1">
        <v>0.0</v>
      </c>
      <c r="D72" s="1" t="s">
        <v>96</v>
      </c>
      <c r="E72" s="1" t="s">
        <v>133</v>
      </c>
      <c r="J72" s="1" t="s">
        <v>32</v>
      </c>
      <c r="M72" s="36" t="s">
        <v>476</v>
      </c>
    </row>
    <row r="73">
      <c r="A73" s="1" t="s">
        <v>154</v>
      </c>
      <c r="B73" s="1">
        <v>0.0</v>
      </c>
      <c r="C73" s="1">
        <v>0.0</v>
      </c>
      <c r="D73" s="1" t="s">
        <v>96</v>
      </c>
      <c r="E73" s="1" t="s">
        <v>133</v>
      </c>
      <c r="J73" s="1" t="s">
        <v>39</v>
      </c>
      <c r="M73" s="36" t="s">
        <v>476</v>
      </c>
    </row>
    <row r="74">
      <c r="A74" s="1" t="s">
        <v>849</v>
      </c>
      <c r="B74" s="1">
        <v>0.0</v>
      </c>
      <c r="C74" s="1">
        <v>0.0</v>
      </c>
      <c r="D74" s="1" t="s">
        <v>96</v>
      </c>
      <c r="E74" s="1" t="s">
        <v>133</v>
      </c>
      <c r="J74" s="1" t="s">
        <v>24</v>
      </c>
      <c r="M74" s="36" t="s">
        <v>476</v>
      </c>
    </row>
    <row r="75">
      <c r="A75" s="1" t="s">
        <v>850</v>
      </c>
      <c r="B75" s="1">
        <v>0.0</v>
      </c>
      <c r="C75" s="1">
        <v>0.0</v>
      </c>
      <c r="D75" s="1" t="s">
        <v>96</v>
      </c>
      <c r="E75" s="1" t="s">
        <v>133</v>
      </c>
      <c r="J75" s="1" t="s">
        <v>28</v>
      </c>
      <c r="M75" s="36" t="s">
        <v>476</v>
      </c>
    </row>
    <row r="76">
      <c r="A76" s="1" t="s">
        <v>154</v>
      </c>
      <c r="B76" s="1">
        <v>0.0</v>
      </c>
      <c r="C76" s="1">
        <v>0.0</v>
      </c>
      <c r="D76" s="1" t="s">
        <v>96</v>
      </c>
      <c r="E76" s="1" t="s">
        <v>133</v>
      </c>
      <c r="J76" s="1" t="s">
        <v>39</v>
      </c>
      <c r="M76" s="36" t="s">
        <v>476</v>
      </c>
    </row>
    <row r="77">
      <c r="A77" s="1" t="s">
        <v>851</v>
      </c>
      <c r="B77" s="1">
        <v>0.0</v>
      </c>
      <c r="C77" s="1">
        <v>0.0</v>
      </c>
      <c r="D77" s="1" t="s">
        <v>96</v>
      </c>
      <c r="E77" s="1" t="s">
        <v>133</v>
      </c>
      <c r="J77" s="1" t="s">
        <v>34</v>
      </c>
      <c r="M77" s="36" t="s">
        <v>476</v>
      </c>
    </row>
    <row r="78">
      <c r="A78" s="1" t="s">
        <v>809</v>
      </c>
      <c r="B78" s="1">
        <v>0.0</v>
      </c>
      <c r="C78" s="1">
        <v>0.0</v>
      </c>
      <c r="D78" s="1" t="s">
        <v>96</v>
      </c>
      <c r="E78" s="1" t="s">
        <v>133</v>
      </c>
      <c r="J78" s="1" t="s">
        <v>18</v>
      </c>
      <c r="M78" s="36" t="s">
        <v>476</v>
      </c>
    </row>
    <row r="79">
      <c r="A79" s="1" t="s">
        <v>852</v>
      </c>
      <c r="B79" s="1">
        <v>0.0</v>
      </c>
      <c r="C79" s="1">
        <v>0.0</v>
      </c>
      <c r="D79" s="1" t="s">
        <v>96</v>
      </c>
      <c r="E79" s="1" t="s">
        <v>133</v>
      </c>
      <c r="J79" s="1" t="s">
        <v>34</v>
      </c>
      <c r="M79" s="36" t="s">
        <v>476</v>
      </c>
    </row>
    <row r="80">
      <c r="A80" s="1" t="s">
        <v>849</v>
      </c>
      <c r="B80" s="1">
        <v>0.0</v>
      </c>
      <c r="C80" s="1">
        <v>0.0</v>
      </c>
      <c r="D80" s="1" t="s">
        <v>96</v>
      </c>
      <c r="E80" s="1" t="s">
        <v>133</v>
      </c>
      <c r="J80" s="1" t="s">
        <v>32</v>
      </c>
      <c r="M80" s="38"/>
    </row>
    <row r="81">
      <c r="A81" s="1" t="s">
        <v>154</v>
      </c>
      <c r="B81" s="1">
        <v>0.0</v>
      </c>
      <c r="C81" s="1">
        <v>0.0</v>
      </c>
      <c r="D81" s="1" t="s">
        <v>96</v>
      </c>
      <c r="E81" s="1" t="s">
        <v>133</v>
      </c>
      <c r="J81" s="1" t="s">
        <v>39</v>
      </c>
      <c r="M81" s="38"/>
    </row>
    <row r="82">
      <c r="A82" s="1" t="s">
        <v>826</v>
      </c>
      <c r="B82" s="1">
        <v>0.0</v>
      </c>
      <c r="C82" s="1">
        <v>0.0</v>
      </c>
      <c r="D82" s="1" t="s">
        <v>96</v>
      </c>
      <c r="E82" s="1" t="s">
        <v>133</v>
      </c>
      <c r="J82" s="1" t="s">
        <v>18</v>
      </c>
      <c r="M82" s="38"/>
    </row>
    <row r="83">
      <c r="A83" s="1" t="s">
        <v>154</v>
      </c>
      <c r="B83" s="1">
        <v>0.0</v>
      </c>
      <c r="C83" s="1">
        <v>0.0</v>
      </c>
      <c r="D83" s="1" t="s">
        <v>96</v>
      </c>
      <c r="E83" s="1" t="s">
        <v>133</v>
      </c>
      <c r="J83" s="1" t="s">
        <v>39</v>
      </c>
      <c r="M83" s="38"/>
    </row>
    <row r="84">
      <c r="A84" s="1" t="s">
        <v>827</v>
      </c>
      <c r="B84" s="1">
        <v>0.0</v>
      </c>
      <c r="C84" s="1">
        <v>0.0</v>
      </c>
      <c r="D84" s="1" t="s">
        <v>96</v>
      </c>
      <c r="E84" s="1" t="s">
        <v>133</v>
      </c>
      <c r="J84" s="1" t="s">
        <v>34</v>
      </c>
      <c r="M84" s="38"/>
    </row>
    <row r="85">
      <c r="A85" s="1" t="s">
        <v>806</v>
      </c>
      <c r="B85" s="1">
        <v>0.0</v>
      </c>
      <c r="C85" s="1">
        <v>0.0</v>
      </c>
      <c r="D85" s="1" t="s">
        <v>96</v>
      </c>
      <c r="E85" s="1" t="s">
        <v>133</v>
      </c>
      <c r="J85" s="1" t="s">
        <v>30</v>
      </c>
      <c r="M85" s="38"/>
    </row>
    <row r="86">
      <c r="A86" s="1" t="s">
        <v>534</v>
      </c>
      <c r="B86" s="1">
        <v>0.0</v>
      </c>
      <c r="C86" s="1">
        <v>0.0</v>
      </c>
      <c r="D86" s="1" t="s">
        <v>96</v>
      </c>
      <c r="E86" s="1" t="s">
        <v>133</v>
      </c>
      <c r="J86" s="1" t="s">
        <v>34</v>
      </c>
      <c r="M86" s="38"/>
    </row>
    <row r="87">
      <c r="A87" s="1" t="s">
        <v>534</v>
      </c>
      <c r="B87" s="1">
        <v>0.0</v>
      </c>
      <c r="C87" s="1">
        <v>0.0</v>
      </c>
      <c r="D87" s="1" t="s">
        <v>96</v>
      </c>
      <c r="E87" s="1" t="s">
        <v>133</v>
      </c>
      <c r="J87" s="1" t="s">
        <v>34</v>
      </c>
      <c r="M87" s="38"/>
    </row>
    <row r="88">
      <c r="A88" s="1" t="s">
        <v>264</v>
      </c>
      <c r="B88" s="1">
        <v>0.0</v>
      </c>
      <c r="C88" s="1">
        <v>0.0</v>
      </c>
      <c r="D88" s="1" t="s">
        <v>96</v>
      </c>
      <c r="E88" s="1" t="s">
        <v>133</v>
      </c>
      <c r="J88" s="1" t="s">
        <v>20</v>
      </c>
      <c r="M88" s="38"/>
    </row>
    <row r="89">
      <c r="A89" s="1" t="s">
        <v>392</v>
      </c>
      <c r="B89" s="1">
        <v>0.0</v>
      </c>
      <c r="C89" s="1">
        <v>0.0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650</v>
      </c>
      <c r="B90" s="1">
        <v>0.0</v>
      </c>
      <c r="C90" s="1">
        <v>0.0</v>
      </c>
      <c r="D90" s="1" t="s">
        <v>96</v>
      </c>
      <c r="E90" s="1" t="s">
        <v>156</v>
      </c>
      <c r="J90" s="1" t="s">
        <v>29</v>
      </c>
      <c r="M90" s="38"/>
    </row>
    <row r="91">
      <c r="A91" s="1" t="s">
        <v>651</v>
      </c>
      <c r="B91" s="1">
        <v>0.0</v>
      </c>
      <c r="C91" s="1">
        <v>0.0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652</v>
      </c>
      <c r="B92" s="1">
        <v>0.0</v>
      </c>
      <c r="C92" s="1">
        <v>0.0</v>
      </c>
      <c r="D92" s="1" t="s">
        <v>96</v>
      </c>
      <c r="E92" s="1" t="s">
        <v>156</v>
      </c>
      <c r="J92" s="1" t="s">
        <v>42</v>
      </c>
      <c r="M92" s="38"/>
    </row>
    <row r="93">
      <c r="A93" s="1" t="s">
        <v>653</v>
      </c>
      <c r="B93" s="1">
        <v>0.0</v>
      </c>
      <c r="C93" s="1">
        <v>0.0</v>
      </c>
      <c r="D93" s="1" t="s">
        <v>96</v>
      </c>
      <c r="E93" s="1" t="s">
        <v>156</v>
      </c>
      <c r="J93" s="1" t="s">
        <v>42</v>
      </c>
      <c r="M93" s="38"/>
    </row>
    <row r="94">
      <c r="A94" s="1" t="s">
        <v>654</v>
      </c>
      <c r="B94" s="1">
        <v>0.0</v>
      </c>
      <c r="C94" s="1">
        <v>0.0</v>
      </c>
      <c r="D94" s="1" t="s">
        <v>96</v>
      </c>
      <c r="E94" s="1" t="s">
        <v>156</v>
      </c>
      <c r="J94" s="1" t="s">
        <v>28</v>
      </c>
      <c r="M94" s="38"/>
    </row>
    <row r="95">
      <c r="A95" s="1" t="s">
        <v>655</v>
      </c>
      <c r="B95" s="1">
        <v>0.0</v>
      </c>
      <c r="C95" s="1">
        <v>0.0</v>
      </c>
      <c r="D95" s="1" t="s">
        <v>96</v>
      </c>
      <c r="E95" s="1" t="s">
        <v>156</v>
      </c>
      <c r="J95" s="1" t="s">
        <v>21</v>
      </c>
      <c r="M95" s="38"/>
    </row>
    <row r="96">
      <c r="A96" s="1" t="s">
        <v>656</v>
      </c>
      <c r="B96" s="1">
        <v>0.0</v>
      </c>
      <c r="C96" s="1">
        <v>0.0</v>
      </c>
      <c r="D96" s="1" t="s">
        <v>96</v>
      </c>
      <c r="E96" s="1" t="s">
        <v>156</v>
      </c>
      <c r="J96" s="1" t="s">
        <v>28</v>
      </c>
      <c r="M96" s="38"/>
    </row>
    <row r="97">
      <c r="A97" s="1" t="s">
        <v>300</v>
      </c>
      <c r="B97" s="1">
        <v>0.0</v>
      </c>
      <c r="C97" s="1">
        <v>0.0</v>
      </c>
      <c r="D97" s="1" t="s">
        <v>96</v>
      </c>
      <c r="E97" s="1" t="s">
        <v>133</v>
      </c>
      <c r="J97" s="1" t="s">
        <v>29</v>
      </c>
      <c r="M97" s="38"/>
    </row>
    <row r="98">
      <c r="A98" s="1" t="s">
        <v>254</v>
      </c>
      <c r="B98" s="1">
        <v>0.0</v>
      </c>
      <c r="C98" s="1">
        <v>0.0</v>
      </c>
      <c r="D98" s="1" t="s">
        <v>96</v>
      </c>
      <c r="E98" s="1" t="s">
        <v>133</v>
      </c>
      <c r="J98" s="1" t="s">
        <v>15</v>
      </c>
      <c r="M98" s="38"/>
    </row>
    <row r="99">
      <c r="A99" s="1" t="s">
        <v>657</v>
      </c>
      <c r="B99" s="1">
        <v>0.0</v>
      </c>
      <c r="C99" s="1">
        <v>0.0</v>
      </c>
      <c r="D99" s="1" t="s">
        <v>96</v>
      </c>
      <c r="E99" s="1" t="s">
        <v>133</v>
      </c>
      <c r="J99" s="1" t="s">
        <v>31</v>
      </c>
      <c r="M99" s="38"/>
    </row>
    <row r="100">
      <c r="A100" s="1" t="s">
        <v>658</v>
      </c>
      <c r="B100" s="1">
        <v>0.0</v>
      </c>
      <c r="C100" s="1">
        <v>0.0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444</v>
      </c>
      <c r="B101" s="1">
        <v>0.0</v>
      </c>
      <c r="C101" s="1">
        <v>0.0</v>
      </c>
      <c r="D101" s="1" t="s">
        <v>96</v>
      </c>
      <c r="E101" s="1" t="s">
        <v>133</v>
      </c>
      <c r="J101" s="1" t="s">
        <v>31</v>
      </c>
      <c r="M101" s="38"/>
    </row>
    <row r="102">
      <c r="A102" s="1"/>
      <c r="J102" s="14"/>
      <c r="M102" s="38"/>
    </row>
    <row r="103">
      <c r="A103" s="1" t="s">
        <v>236</v>
      </c>
      <c r="C103" s="1">
        <f>8892.96*0.3-(633.9)</f>
        <v>2033.988</v>
      </c>
      <c r="M103" s="38"/>
    </row>
    <row r="104">
      <c r="A104" s="1" t="s">
        <v>50</v>
      </c>
      <c r="C104" s="8">
        <f>SUM(C2:C101)</f>
        <v>8800.34</v>
      </c>
      <c r="D104" s="8">
        <f>(8968.96+7000+3500)-C104-C103</f>
        <v>8634.632</v>
      </c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6" t="s">
        <v>240</v>
      </c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M150" s="38"/>
    </row>
    <row r="151">
      <c r="M151" s="38"/>
    </row>
    <row r="152">
      <c r="M152" s="38"/>
    </row>
    <row r="153">
      <c r="B153" s="14">
        <f>8892+7000+3500-B151</f>
        <v>19392</v>
      </c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</sheetData>
  <autoFilter ref="$A$1:$BV$17"/>
  <conditionalFormatting sqref="B153">
    <cfRule type="cellIs" dxfId="1" priority="1" operator="greaterThanOrEqual">
      <formula>0</formula>
    </cfRule>
  </conditionalFormatting>
  <conditionalFormatting sqref="B153">
    <cfRule type="cellIs" dxfId="2" priority="2" operator="lessThan">
      <formula>0</formula>
    </cfRule>
  </conditionalFormatting>
  <dataValidations>
    <dataValidation type="list" allowBlank="1" showErrorMessage="1" sqref="J2:J102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660.0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7.0</v>
      </c>
      <c r="C3" s="52">
        <f>992</f>
        <v>992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1" t="s">
        <v>106</v>
      </c>
      <c r="B5" s="1">
        <v>14.0</v>
      </c>
      <c r="C5" s="37">
        <v>333.32</v>
      </c>
      <c r="D5" s="1" t="s">
        <v>96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  <c r="M5" s="38"/>
    </row>
    <row r="6">
      <c r="A6" s="1" t="s">
        <v>111</v>
      </c>
      <c r="B6" s="1">
        <v>11.0</v>
      </c>
      <c r="C6" s="37">
        <v>99.0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>
        <v>16.0</v>
      </c>
      <c r="C9" s="37">
        <v>21.9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17.99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/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21.0</v>
      </c>
      <c r="C19" s="1">
        <v>30.0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50.0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264</v>
      </c>
      <c r="B23" s="1">
        <v>1.0</v>
      </c>
      <c r="C23" s="1">
        <v>0.0</v>
      </c>
      <c r="D23" s="1" t="s">
        <v>96</v>
      </c>
      <c r="E23" s="1" t="s">
        <v>105</v>
      </c>
      <c r="J23" s="1" t="s">
        <v>20</v>
      </c>
      <c r="M23" s="38"/>
    </row>
    <row r="24">
      <c r="A24" s="1" t="s">
        <v>853</v>
      </c>
      <c r="B24" s="1">
        <v>27.0</v>
      </c>
      <c r="C24" s="1">
        <v>32.0</v>
      </c>
      <c r="D24" s="1" t="s">
        <v>96</v>
      </c>
      <c r="E24" s="1" t="s">
        <v>105</v>
      </c>
      <c r="G24" s="1"/>
      <c r="J24" s="1" t="s">
        <v>32</v>
      </c>
      <c r="M24" s="38"/>
    </row>
    <row r="25">
      <c r="A25" s="1" t="s">
        <v>854</v>
      </c>
      <c r="B25" s="1">
        <v>28.0</v>
      </c>
      <c r="C25" s="1">
        <v>24.0</v>
      </c>
      <c r="D25" s="1" t="s">
        <v>96</v>
      </c>
      <c r="E25" s="1" t="s">
        <v>105</v>
      </c>
      <c r="G25" s="1"/>
      <c r="J25" s="1" t="s">
        <v>32</v>
      </c>
      <c r="M25" s="38"/>
    </row>
    <row r="26">
      <c r="A26" s="1" t="s">
        <v>765</v>
      </c>
      <c r="B26" s="1">
        <v>28.0</v>
      </c>
      <c r="C26" s="1">
        <v>11.36</v>
      </c>
      <c r="D26" s="1" t="s">
        <v>96</v>
      </c>
      <c r="E26" s="1" t="s">
        <v>105</v>
      </c>
      <c r="G26" s="1"/>
      <c r="J26" s="1" t="s">
        <v>24</v>
      </c>
      <c r="M26" s="38"/>
    </row>
    <row r="27">
      <c r="A27" s="1" t="s">
        <v>855</v>
      </c>
      <c r="B27" s="1">
        <v>28.0</v>
      </c>
      <c r="C27" s="1">
        <v>40.0</v>
      </c>
      <c r="D27" s="1" t="s">
        <v>96</v>
      </c>
      <c r="E27" s="1" t="s">
        <v>105</v>
      </c>
      <c r="G27" s="1"/>
      <c r="J27" s="1" t="s">
        <v>18</v>
      </c>
      <c r="M27" s="38"/>
    </row>
    <row r="28">
      <c r="A28" s="1" t="s">
        <v>855</v>
      </c>
      <c r="B28" s="1">
        <v>28.0</v>
      </c>
      <c r="C28" s="1">
        <v>48.34</v>
      </c>
      <c r="D28" s="1" t="s">
        <v>96</v>
      </c>
      <c r="E28" s="1" t="s">
        <v>133</v>
      </c>
      <c r="G28" s="1"/>
      <c r="J28" s="1" t="s">
        <v>18</v>
      </c>
      <c r="M28" s="38"/>
    </row>
    <row r="29">
      <c r="A29" s="1" t="s">
        <v>856</v>
      </c>
      <c r="B29" s="1">
        <v>29.0</v>
      </c>
      <c r="C29" s="1">
        <v>120.0</v>
      </c>
      <c r="D29" s="1" t="s">
        <v>96</v>
      </c>
      <c r="E29" s="1" t="s">
        <v>133</v>
      </c>
      <c r="G29" s="1"/>
      <c r="J29" s="1" t="s">
        <v>28</v>
      </c>
      <c r="M29" s="38"/>
    </row>
    <row r="30">
      <c r="A30" s="1" t="s">
        <v>857</v>
      </c>
      <c r="B30" s="1">
        <v>29.0</v>
      </c>
      <c r="C30" s="1">
        <v>20.0</v>
      </c>
      <c r="D30" s="1" t="s">
        <v>96</v>
      </c>
      <c r="E30" s="1" t="s">
        <v>133</v>
      </c>
      <c r="G30" s="1"/>
      <c r="J30" s="1" t="s">
        <v>32</v>
      </c>
      <c r="M30" s="38"/>
    </row>
    <row r="31">
      <c r="A31" s="1" t="s">
        <v>835</v>
      </c>
      <c r="B31" s="1">
        <v>29.0</v>
      </c>
      <c r="C31" s="1">
        <v>44.41</v>
      </c>
      <c r="D31" s="1" t="s">
        <v>96</v>
      </c>
      <c r="E31" s="1" t="s">
        <v>133</v>
      </c>
      <c r="G31" s="1"/>
      <c r="J31" s="1" t="s">
        <v>29</v>
      </c>
      <c r="M31" s="38"/>
    </row>
    <row r="32">
      <c r="A32" s="1" t="s">
        <v>858</v>
      </c>
      <c r="B32" s="1">
        <v>30.0</v>
      </c>
      <c r="C32" s="1">
        <v>8.0</v>
      </c>
      <c r="D32" s="1" t="s">
        <v>96</v>
      </c>
      <c r="E32" s="1" t="s">
        <v>133</v>
      </c>
      <c r="G32" s="1"/>
      <c r="J32" s="1" t="s">
        <v>32</v>
      </c>
      <c r="M32" s="38"/>
    </row>
    <row r="33">
      <c r="A33" s="1" t="s">
        <v>853</v>
      </c>
      <c r="B33" s="1">
        <v>30.0</v>
      </c>
      <c r="C33" s="1">
        <v>18.0</v>
      </c>
      <c r="D33" s="1" t="s">
        <v>96</v>
      </c>
      <c r="E33" s="1" t="s">
        <v>133</v>
      </c>
      <c r="G33" s="1"/>
      <c r="J33" s="1" t="s">
        <v>32</v>
      </c>
      <c r="M33" s="38"/>
    </row>
    <row r="34">
      <c r="A34" s="1" t="s">
        <v>859</v>
      </c>
      <c r="B34" s="1">
        <v>30.0</v>
      </c>
      <c r="C34" s="1">
        <v>37.16</v>
      </c>
      <c r="D34" s="1" t="s">
        <v>96</v>
      </c>
      <c r="E34" s="1" t="s">
        <v>133</v>
      </c>
      <c r="G34" s="1"/>
      <c r="J34" s="1" t="s">
        <v>29</v>
      </c>
      <c r="M34" s="38"/>
    </row>
    <row r="35">
      <c r="A35" s="1" t="s">
        <v>263</v>
      </c>
      <c r="B35" s="1">
        <v>30.0</v>
      </c>
      <c r="C35" s="1">
        <v>115.5</v>
      </c>
      <c r="D35" s="1" t="s">
        <v>96</v>
      </c>
      <c r="E35" s="1" t="s">
        <v>133</v>
      </c>
      <c r="G35" s="1"/>
      <c r="J35" s="1" t="s">
        <v>28</v>
      </c>
      <c r="M35" s="38"/>
    </row>
    <row r="36">
      <c r="A36" s="1" t="s">
        <v>827</v>
      </c>
      <c r="B36" s="1">
        <v>1.0</v>
      </c>
      <c r="C36" s="1">
        <v>28.0</v>
      </c>
      <c r="D36" s="1" t="s">
        <v>96</v>
      </c>
      <c r="E36" s="1" t="s">
        <v>133</v>
      </c>
      <c r="G36" s="1"/>
      <c r="J36" s="1" t="s">
        <v>41</v>
      </c>
      <c r="M36" s="38"/>
    </row>
    <row r="37">
      <c r="A37" s="1" t="s">
        <v>849</v>
      </c>
      <c r="B37" s="1">
        <v>1.0</v>
      </c>
      <c r="C37" s="1">
        <v>32.0</v>
      </c>
      <c r="D37" s="1" t="s">
        <v>96</v>
      </c>
      <c r="E37" s="1" t="s">
        <v>133</v>
      </c>
      <c r="G37" s="1"/>
      <c r="J37" s="1" t="s">
        <v>38</v>
      </c>
      <c r="M37" s="36" t="s">
        <v>43</v>
      </c>
    </row>
    <row r="38">
      <c r="A38" s="1" t="s">
        <v>233</v>
      </c>
      <c r="B38" s="1">
        <v>2.0</v>
      </c>
      <c r="C38" s="1">
        <v>596.41</v>
      </c>
      <c r="D38" s="1" t="s">
        <v>96</v>
      </c>
      <c r="E38" s="1" t="s">
        <v>133</v>
      </c>
      <c r="G38" s="1"/>
      <c r="J38" s="1" t="s">
        <v>28</v>
      </c>
      <c r="M38" s="38"/>
    </row>
    <row r="39">
      <c r="A39" s="1" t="s">
        <v>860</v>
      </c>
      <c r="B39" s="1">
        <v>2.0</v>
      </c>
      <c r="C39" s="1">
        <v>116.7</v>
      </c>
      <c r="D39" s="1" t="s">
        <v>96</v>
      </c>
      <c r="E39" s="1" t="s">
        <v>133</v>
      </c>
      <c r="G39" s="1"/>
      <c r="J39" s="1" t="s">
        <v>34</v>
      </c>
      <c r="M39" s="38"/>
    </row>
    <row r="40">
      <c r="A40" s="1" t="s">
        <v>233</v>
      </c>
      <c r="B40" s="1">
        <v>2.0</v>
      </c>
      <c r="C40" s="1">
        <v>12.42</v>
      </c>
      <c r="D40" s="1" t="s">
        <v>96</v>
      </c>
      <c r="E40" s="1" t="s">
        <v>133</v>
      </c>
      <c r="G40" s="1"/>
      <c r="J40" s="1" t="s">
        <v>28</v>
      </c>
      <c r="M40" s="38"/>
    </row>
    <row r="41">
      <c r="A41" s="1" t="s">
        <v>861</v>
      </c>
      <c r="B41" s="1">
        <v>2.0</v>
      </c>
      <c r="C41" s="1">
        <v>15.0</v>
      </c>
      <c r="D41" s="1" t="s">
        <v>96</v>
      </c>
      <c r="E41" s="1" t="s">
        <v>133</v>
      </c>
      <c r="G41" s="1"/>
      <c r="J41" s="1" t="s">
        <v>34</v>
      </c>
      <c r="M41" s="38"/>
    </row>
    <row r="42">
      <c r="A42" s="1" t="s">
        <v>796</v>
      </c>
      <c r="B42" s="1">
        <v>2.0</v>
      </c>
      <c r="C42" s="1">
        <v>41.18</v>
      </c>
      <c r="D42" s="1" t="s">
        <v>96</v>
      </c>
      <c r="E42" s="1" t="s">
        <v>133</v>
      </c>
      <c r="G42" s="1"/>
      <c r="J42" s="1" t="s">
        <v>18</v>
      </c>
      <c r="M42" s="38"/>
    </row>
    <row r="43">
      <c r="A43" s="1" t="s">
        <v>154</v>
      </c>
      <c r="B43" s="1">
        <v>4.0</v>
      </c>
      <c r="C43" s="1">
        <v>4.0</v>
      </c>
      <c r="D43" s="1" t="s">
        <v>96</v>
      </c>
      <c r="E43" s="1" t="s">
        <v>133</v>
      </c>
      <c r="G43" s="1"/>
      <c r="J43" s="1" t="s">
        <v>39</v>
      </c>
      <c r="M43" s="38"/>
    </row>
    <row r="44">
      <c r="A44" s="1" t="s">
        <v>862</v>
      </c>
      <c r="B44" s="1">
        <v>4.0</v>
      </c>
      <c r="C44" s="1">
        <v>100.0</v>
      </c>
      <c r="D44" s="1" t="s">
        <v>96</v>
      </c>
      <c r="E44" s="1" t="s">
        <v>133</v>
      </c>
      <c r="G44" s="1"/>
      <c r="J44" s="1" t="s">
        <v>28</v>
      </c>
      <c r="M44" s="38"/>
    </row>
    <row r="45">
      <c r="A45" s="1" t="s">
        <v>154</v>
      </c>
      <c r="B45" s="1">
        <v>7.0</v>
      </c>
      <c r="C45" s="1">
        <v>9.0</v>
      </c>
      <c r="D45" s="1" t="s">
        <v>96</v>
      </c>
      <c r="E45" s="1" t="s">
        <v>133</v>
      </c>
      <c r="G45" s="1"/>
      <c r="J45" s="1" t="s">
        <v>39</v>
      </c>
      <c r="M45" s="38"/>
    </row>
    <row r="46">
      <c r="A46" s="1" t="s">
        <v>233</v>
      </c>
      <c r="B46" s="1">
        <v>9.0</v>
      </c>
      <c r="C46" s="1">
        <v>307.35</v>
      </c>
      <c r="D46" s="1" t="s">
        <v>96</v>
      </c>
      <c r="E46" s="1" t="s">
        <v>133</v>
      </c>
      <c r="G46" s="1"/>
      <c r="J46" s="1" t="s">
        <v>28</v>
      </c>
      <c r="M46" s="38"/>
    </row>
    <row r="47">
      <c r="A47" s="1" t="s">
        <v>863</v>
      </c>
      <c r="B47" s="1">
        <v>9.0</v>
      </c>
      <c r="C47" s="1">
        <v>35.88</v>
      </c>
      <c r="D47" s="1" t="s">
        <v>96</v>
      </c>
      <c r="E47" s="1" t="s">
        <v>133</v>
      </c>
      <c r="G47" s="1"/>
      <c r="J47" s="1" t="s">
        <v>34</v>
      </c>
      <c r="M47" s="38"/>
    </row>
    <row r="48">
      <c r="A48" s="1" t="s">
        <v>165</v>
      </c>
      <c r="B48" s="1">
        <v>9.0</v>
      </c>
      <c r="C48" s="1">
        <v>4.7</v>
      </c>
      <c r="D48" s="1" t="s">
        <v>96</v>
      </c>
      <c r="E48" s="1" t="s">
        <v>133</v>
      </c>
      <c r="G48" s="1"/>
      <c r="J48" s="1" t="s">
        <v>29</v>
      </c>
      <c r="M48" s="38"/>
    </row>
    <row r="49">
      <c r="A49" s="1" t="s">
        <v>248</v>
      </c>
      <c r="B49" s="1">
        <v>10.0</v>
      </c>
      <c r="C49" s="1">
        <v>8.0</v>
      </c>
      <c r="D49" s="1" t="s">
        <v>96</v>
      </c>
      <c r="E49" s="1" t="s">
        <v>133</v>
      </c>
      <c r="G49" s="1"/>
      <c r="J49" s="1" t="s">
        <v>34</v>
      </c>
      <c r="M49" s="38"/>
    </row>
    <row r="50">
      <c r="A50" s="1" t="s">
        <v>617</v>
      </c>
      <c r="B50" s="1">
        <v>10.0</v>
      </c>
      <c r="C50" s="1">
        <v>61.91</v>
      </c>
      <c r="D50" s="1" t="s">
        <v>96</v>
      </c>
      <c r="E50" s="1" t="s">
        <v>133</v>
      </c>
      <c r="G50" s="1"/>
      <c r="J50" s="1" t="s">
        <v>29</v>
      </c>
      <c r="M50" s="38"/>
    </row>
    <row r="51">
      <c r="A51" s="1" t="s">
        <v>336</v>
      </c>
      <c r="B51" s="1">
        <v>12.0</v>
      </c>
      <c r="C51" s="1">
        <v>25.99</v>
      </c>
      <c r="D51" s="1" t="s">
        <v>96</v>
      </c>
      <c r="E51" s="1" t="s">
        <v>133</v>
      </c>
      <c r="G51" s="1"/>
      <c r="J51" s="1" t="s">
        <v>33</v>
      </c>
      <c r="M51" s="38"/>
    </row>
    <row r="52">
      <c r="A52" s="1" t="s">
        <v>835</v>
      </c>
      <c r="B52" s="1">
        <v>12.0</v>
      </c>
      <c r="C52" s="1">
        <v>21.37</v>
      </c>
      <c r="D52" s="1" t="s">
        <v>96</v>
      </c>
      <c r="E52" s="1" t="s">
        <v>133</v>
      </c>
      <c r="G52" s="1"/>
      <c r="J52" s="1" t="s">
        <v>29</v>
      </c>
      <c r="M52" s="38"/>
    </row>
    <row r="53">
      <c r="A53" s="1" t="s">
        <v>839</v>
      </c>
      <c r="B53" s="1">
        <v>15.0</v>
      </c>
      <c r="C53" s="1">
        <v>70.0</v>
      </c>
      <c r="D53" s="1" t="s">
        <v>96</v>
      </c>
      <c r="E53" s="1" t="s">
        <v>133</v>
      </c>
      <c r="G53" s="1"/>
      <c r="J53" s="1" t="s">
        <v>15</v>
      </c>
      <c r="M53" s="38"/>
    </row>
    <row r="54">
      <c r="A54" s="1" t="s">
        <v>165</v>
      </c>
      <c r="B54" s="1">
        <v>16.0</v>
      </c>
      <c r="C54" s="1">
        <v>134.16</v>
      </c>
      <c r="D54" s="1" t="s">
        <v>96</v>
      </c>
      <c r="E54" s="1" t="s">
        <v>133</v>
      </c>
      <c r="G54" s="1"/>
      <c r="J54" s="1" t="s">
        <v>29</v>
      </c>
      <c r="M54" s="38"/>
    </row>
    <row r="55">
      <c r="A55" s="1" t="s">
        <v>393</v>
      </c>
      <c r="B55" s="1">
        <v>16.0</v>
      </c>
      <c r="C55" s="1">
        <v>36.99</v>
      </c>
      <c r="D55" s="1" t="s">
        <v>96</v>
      </c>
      <c r="E55" s="1" t="s">
        <v>133</v>
      </c>
      <c r="G55" s="1"/>
      <c r="J55" s="1" t="s">
        <v>29</v>
      </c>
      <c r="M55" s="38"/>
    </row>
    <row r="56">
      <c r="A56" s="1" t="s">
        <v>840</v>
      </c>
      <c r="B56" s="1">
        <v>17.0</v>
      </c>
      <c r="C56" s="1">
        <v>15.0</v>
      </c>
      <c r="D56" s="1" t="s">
        <v>96</v>
      </c>
      <c r="E56" s="1" t="s">
        <v>133</v>
      </c>
      <c r="G56" s="1"/>
      <c r="J56" s="1" t="s">
        <v>34</v>
      </c>
      <c r="M56" s="38"/>
    </row>
    <row r="57">
      <c r="A57" s="1" t="s">
        <v>233</v>
      </c>
      <c r="B57" s="1">
        <v>10.0</v>
      </c>
      <c r="C57" s="1">
        <v>242.43</v>
      </c>
      <c r="D57" s="1" t="s">
        <v>96</v>
      </c>
      <c r="E57" s="1" t="s">
        <v>117</v>
      </c>
      <c r="G57" s="1"/>
      <c r="J57" s="1" t="s">
        <v>28</v>
      </c>
      <c r="M57" s="38"/>
    </row>
    <row r="58">
      <c r="A58" s="1" t="s">
        <v>841</v>
      </c>
      <c r="B58" s="1">
        <v>15.0</v>
      </c>
      <c r="C58" s="1">
        <v>199.0</v>
      </c>
      <c r="D58" s="1" t="s">
        <v>96</v>
      </c>
      <c r="E58" s="1" t="s">
        <v>132</v>
      </c>
      <c r="G58" s="1"/>
      <c r="J58" s="1" t="s">
        <v>28</v>
      </c>
      <c r="M58" s="38"/>
    </row>
    <row r="59">
      <c r="A59" s="1" t="s">
        <v>842</v>
      </c>
      <c r="B59" s="1">
        <v>18.0</v>
      </c>
      <c r="C59" s="1">
        <v>871.5</v>
      </c>
      <c r="D59" s="1" t="s">
        <v>96</v>
      </c>
      <c r="E59" s="1" t="s">
        <v>133</v>
      </c>
      <c r="G59" s="1"/>
      <c r="J59" s="1" t="s">
        <v>14</v>
      </c>
      <c r="M59" s="38"/>
    </row>
    <row r="60">
      <c r="A60" s="1" t="s">
        <v>843</v>
      </c>
      <c r="B60" s="1">
        <v>18.0</v>
      </c>
      <c r="C60" s="1">
        <v>230.0</v>
      </c>
      <c r="D60" s="1" t="s">
        <v>96</v>
      </c>
      <c r="E60" s="1" t="s">
        <v>133</v>
      </c>
      <c r="G60" s="1"/>
      <c r="J60" s="1" t="s">
        <v>28</v>
      </c>
      <c r="M60" s="38"/>
    </row>
    <row r="61">
      <c r="A61" s="1" t="s">
        <v>844</v>
      </c>
      <c r="B61" s="1">
        <v>18.0</v>
      </c>
      <c r="C61" s="1">
        <v>250.0</v>
      </c>
      <c r="D61" s="1" t="s">
        <v>96</v>
      </c>
      <c r="E61" s="1" t="s">
        <v>133</v>
      </c>
      <c r="G61" s="1"/>
      <c r="J61" s="1" t="s">
        <v>28</v>
      </c>
      <c r="M61" s="38"/>
    </row>
    <row r="62">
      <c r="A62" s="1" t="s">
        <v>845</v>
      </c>
      <c r="B62" s="1">
        <v>18.0</v>
      </c>
      <c r="C62" s="1">
        <v>380.0</v>
      </c>
      <c r="D62" s="1" t="s">
        <v>96</v>
      </c>
      <c r="E62" s="1" t="s">
        <v>133</v>
      </c>
      <c r="G62" s="1"/>
      <c r="J62" s="1" t="s">
        <v>28</v>
      </c>
      <c r="M62" s="38"/>
    </row>
    <row r="63">
      <c r="A63" s="1" t="s">
        <v>422</v>
      </c>
      <c r="B63" s="1">
        <v>18.0</v>
      </c>
      <c r="C63" s="1">
        <v>152.0</v>
      </c>
      <c r="D63" s="1" t="s">
        <v>96</v>
      </c>
      <c r="E63" s="1" t="s">
        <v>133</v>
      </c>
      <c r="G63" s="1"/>
      <c r="J63" s="1" t="s">
        <v>42</v>
      </c>
      <c r="M63" s="36" t="s">
        <v>476</v>
      </c>
    </row>
    <row r="64">
      <c r="A64" s="1" t="s">
        <v>261</v>
      </c>
      <c r="B64" s="1">
        <v>19.0</v>
      </c>
      <c r="C64" s="1">
        <v>169.0</v>
      </c>
      <c r="D64" s="1" t="s">
        <v>96</v>
      </c>
      <c r="E64" s="1" t="s">
        <v>133</v>
      </c>
      <c r="G64" s="1"/>
      <c r="J64" s="1" t="s">
        <v>29</v>
      </c>
      <c r="M64" s="36" t="s">
        <v>476</v>
      </c>
    </row>
    <row r="65">
      <c r="A65" s="1" t="s">
        <v>846</v>
      </c>
      <c r="B65" s="1">
        <v>19.0</v>
      </c>
      <c r="C65" s="1">
        <v>180.0</v>
      </c>
      <c r="D65" s="1" t="s">
        <v>96</v>
      </c>
      <c r="E65" s="1" t="s">
        <v>156</v>
      </c>
      <c r="G65" s="1"/>
      <c r="J65" s="1" t="s">
        <v>28</v>
      </c>
      <c r="M65" s="36" t="s">
        <v>476</v>
      </c>
    </row>
    <row r="66">
      <c r="A66" s="1" t="s">
        <v>165</v>
      </c>
      <c r="B66" s="1">
        <v>18.0</v>
      </c>
      <c r="C66" s="1">
        <v>0.0</v>
      </c>
      <c r="D66" s="1" t="s">
        <v>96</v>
      </c>
      <c r="E66" s="1" t="s">
        <v>133</v>
      </c>
      <c r="J66" s="1" t="s">
        <v>29</v>
      </c>
      <c r="M66" s="36" t="s">
        <v>476</v>
      </c>
    </row>
    <row r="67">
      <c r="A67" s="1" t="s">
        <v>264</v>
      </c>
      <c r="B67" s="1">
        <v>20.0</v>
      </c>
      <c r="C67" s="1">
        <v>8.0</v>
      </c>
      <c r="D67" s="1" t="s">
        <v>96</v>
      </c>
      <c r="E67" s="1" t="s">
        <v>133</v>
      </c>
      <c r="J67" s="1" t="s">
        <v>20</v>
      </c>
      <c r="M67" s="36" t="s">
        <v>476</v>
      </c>
    </row>
    <row r="68">
      <c r="A68" s="1" t="s">
        <v>534</v>
      </c>
      <c r="B68" s="1">
        <v>20.0</v>
      </c>
      <c r="C68" s="1">
        <v>12.0</v>
      </c>
      <c r="D68" s="1" t="s">
        <v>96</v>
      </c>
      <c r="E68" s="1" t="s">
        <v>133</v>
      </c>
      <c r="J68" s="1" t="s">
        <v>34</v>
      </c>
      <c r="M68" s="36" t="s">
        <v>476</v>
      </c>
    </row>
    <row r="69">
      <c r="A69" s="1" t="s">
        <v>847</v>
      </c>
      <c r="B69" s="1">
        <v>20.0</v>
      </c>
      <c r="C69" s="1">
        <v>90.0</v>
      </c>
      <c r="D69" s="1" t="s">
        <v>96</v>
      </c>
      <c r="E69" s="1" t="s">
        <v>133</v>
      </c>
      <c r="J69" s="1" t="s">
        <v>31</v>
      </c>
      <c r="M69" s="36" t="s">
        <v>476</v>
      </c>
    </row>
    <row r="70">
      <c r="A70" s="1" t="s">
        <v>263</v>
      </c>
      <c r="B70" s="1">
        <v>20.0</v>
      </c>
      <c r="C70" s="1">
        <v>97.9</v>
      </c>
      <c r="D70" s="1" t="s">
        <v>96</v>
      </c>
      <c r="E70" s="1" t="s">
        <v>133</v>
      </c>
      <c r="J70" s="1" t="s">
        <v>28</v>
      </c>
      <c r="M70" s="36" t="s">
        <v>476</v>
      </c>
    </row>
    <row r="71">
      <c r="A71" s="1" t="s">
        <v>809</v>
      </c>
      <c r="B71" s="1">
        <v>20.0</v>
      </c>
      <c r="C71" s="1">
        <v>67.46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18</v>
      </c>
      <c r="K71" s="42">
        <v>44959.0</v>
      </c>
      <c r="M71" s="36" t="s">
        <v>476</v>
      </c>
    </row>
    <row r="72">
      <c r="A72" s="1" t="s">
        <v>848</v>
      </c>
      <c r="B72" s="1">
        <v>21.0</v>
      </c>
      <c r="C72" s="1">
        <v>159.9</v>
      </c>
      <c r="D72" s="1" t="s">
        <v>96</v>
      </c>
      <c r="E72" s="1" t="s">
        <v>133</v>
      </c>
      <c r="J72" s="1" t="s">
        <v>32</v>
      </c>
      <c r="M72" s="36" t="s">
        <v>476</v>
      </c>
    </row>
    <row r="73">
      <c r="A73" s="1" t="s">
        <v>154</v>
      </c>
      <c r="B73" s="1">
        <v>21.0</v>
      </c>
      <c r="C73" s="1">
        <v>4.0</v>
      </c>
      <c r="D73" s="1" t="s">
        <v>96</v>
      </c>
      <c r="E73" s="1" t="s">
        <v>133</v>
      </c>
      <c r="J73" s="1" t="s">
        <v>39</v>
      </c>
      <c r="M73" s="36" t="s">
        <v>476</v>
      </c>
    </row>
    <row r="74">
      <c r="A74" s="1" t="s">
        <v>849</v>
      </c>
      <c r="B74" s="1">
        <v>21.0</v>
      </c>
      <c r="C74" s="1">
        <v>32.0</v>
      </c>
      <c r="D74" s="1" t="s">
        <v>96</v>
      </c>
      <c r="E74" s="1" t="s">
        <v>133</v>
      </c>
      <c r="J74" s="1" t="s">
        <v>24</v>
      </c>
      <c r="M74" s="36" t="s">
        <v>476</v>
      </c>
    </row>
    <row r="75">
      <c r="A75" s="1" t="s">
        <v>850</v>
      </c>
      <c r="B75" s="1">
        <v>21.0</v>
      </c>
      <c r="C75" s="1">
        <v>34.0</v>
      </c>
      <c r="D75" s="1" t="s">
        <v>96</v>
      </c>
      <c r="E75" s="1" t="s">
        <v>133</v>
      </c>
      <c r="J75" s="1" t="s">
        <v>28</v>
      </c>
      <c r="M75" s="36" t="s">
        <v>476</v>
      </c>
    </row>
    <row r="76">
      <c r="A76" s="1" t="s">
        <v>154</v>
      </c>
      <c r="B76" s="1">
        <v>21.0</v>
      </c>
      <c r="C76" s="1">
        <v>9.0</v>
      </c>
      <c r="D76" s="1" t="s">
        <v>96</v>
      </c>
      <c r="E76" s="1" t="s">
        <v>133</v>
      </c>
      <c r="J76" s="1" t="s">
        <v>39</v>
      </c>
      <c r="M76" s="36" t="s">
        <v>476</v>
      </c>
    </row>
    <row r="77">
      <c r="A77" s="1" t="s">
        <v>851</v>
      </c>
      <c r="B77" s="1">
        <v>21.0</v>
      </c>
      <c r="C77" s="1">
        <v>3.0</v>
      </c>
      <c r="D77" s="1" t="s">
        <v>96</v>
      </c>
      <c r="E77" s="1" t="s">
        <v>133</v>
      </c>
      <c r="J77" s="1" t="s">
        <v>34</v>
      </c>
      <c r="M77" s="36" t="s">
        <v>476</v>
      </c>
    </row>
    <row r="78">
      <c r="A78" s="1" t="s">
        <v>809</v>
      </c>
      <c r="B78" s="1">
        <v>22.0</v>
      </c>
      <c r="C78" s="1">
        <v>58.66</v>
      </c>
      <c r="D78" s="1" t="s">
        <v>96</v>
      </c>
      <c r="E78" s="1" t="s">
        <v>133</v>
      </c>
      <c r="J78" s="1" t="s">
        <v>18</v>
      </c>
      <c r="M78" s="36" t="s">
        <v>476</v>
      </c>
    </row>
    <row r="79">
      <c r="A79" s="1" t="s">
        <v>852</v>
      </c>
      <c r="B79" s="1">
        <v>22.0</v>
      </c>
      <c r="C79" s="1">
        <v>42.0</v>
      </c>
      <c r="D79" s="1" t="s">
        <v>96</v>
      </c>
      <c r="E79" s="1" t="s">
        <v>133</v>
      </c>
      <c r="J79" s="1" t="s">
        <v>34</v>
      </c>
      <c r="M79" s="36" t="s">
        <v>476</v>
      </c>
    </row>
    <row r="80">
      <c r="A80" s="1" t="s">
        <v>849</v>
      </c>
      <c r="B80" s="1">
        <v>22.0</v>
      </c>
      <c r="C80" s="1">
        <v>16.0</v>
      </c>
      <c r="D80" s="1" t="s">
        <v>96</v>
      </c>
      <c r="E80" s="1" t="s">
        <v>133</v>
      </c>
      <c r="J80" s="1" t="s">
        <v>32</v>
      </c>
      <c r="M80" s="38"/>
    </row>
    <row r="81">
      <c r="A81" s="1" t="s">
        <v>154</v>
      </c>
      <c r="B81" s="1">
        <v>22.0</v>
      </c>
      <c r="C81" s="1">
        <v>9.0</v>
      </c>
      <c r="D81" s="1" t="s">
        <v>96</v>
      </c>
      <c r="E81" s="1" t="s">
        <v>133</v>
      </c>
      <c r="J81" s="1" t="s">
        <v>39</v>
      </c>
      <c r="M81" s="38"/>
    </row>
    <row r="82">
      <c r="A82" s="1" t="s">
        <v>826</v>
      </c>
      <c r="B82" s="1">
        <v>22.0</v>
      </c>
      <c r="C82" s="1">
        <v>20.0</v>
      </c>
      <c r="D82" s="1" t="s">
        <v>96</v>
      </c>
      <c r="E82" s="1" t="s">
        <v>133</v>
      </c>
      <c r="J82" s="1" t="s">
        <v>18</v>
      </c>
      <c r="M82" s="38"/>
    </row>
    <row r="83">
      <c r="A83" s="1" t="s">
        <v>154</v>
      </c>
      <c r="B83" s="1">
        <v>22.0</v>
      </c>
      <c r="C83" s="1">
        <v>11.4</v>
      </c>
      <c r="D83" s="1" t="s">
        <v>96</v>
      </c>
      <c r="E83" s="1" t="s">
        <v>133</v>
      </c>
      <c r="J83" s="1" t="s">
        <v>39</v>
      </c>
      <c r="M83" s="38"/>
    </row>
    <row r="84">
      <c r="A84" s="1" t="s">
        <v>827</v>
      </c>
      <c r="B84" s="1">
        <v>22.0</v>
      </c>
      <c r="C84" s="1">
        <v>18.0</v>
      </c>
      <c r="D84" s="1" t="s">
        <v>96</v>
      </c>
      <c r="E84" s="1" t="s">
        <v>133</v>
      </c>
      <c r="J84" s="1" t="s">
        <v>34</v>
      </c>
      <c r="M84" s="38"/>
    </row>
    <row r="85">
      <c r="A85" s="1" t="s">
        <v>806</v>
      </c>
      <c r="B85" s="1">
        <v>23.0</v>
      </c>
      <c r="C85" s="1">
        <v>55.0</v>
      </c>
      <c r="D85" s="1" t="s">
        <v>96</v>
      </c>
      <c r="E85" s="1" t="s">
        <v>133</v>
      </c>
      <c r="J85" s="1" t="s">
        <v>30</v>
      </c>
      <c r="M85" s="38"/>
    </row>
    <row r="86">
      <c r="A86" s="1" t="s">
        <v>534</v>
      </c>
      <c r="B86" s="1">
        <v>23.0</v>
      </c>
      <c r="C86" s="1">
        <v>37.3</v>
      </c>
      <c r="D86" s="1" t="s">
        <v>96</v>
      </c>
      <c r="E86" s="1" t="s">
        <v>133</v>
      </c>
      <c r="J86" s="1" t="s">
        <v>34</v>
      </c>
      <c r="M86" s="38"/>
    </row>
    <row r="87">
      <c r="A87" s="1" t="s">
        <v>534</v>
      </c>
      <c r="B87" s="1">
        <v>23.0</v>
      </c>
      <c r="C87" s="1">
        <v>61.8</v>
      </c>
      <c r="D87" s="1" t="s">
        <v>96</v>
      </c>
      <c r="E87" s="1" t="s">
        <v>133</v>
      </c>
      <c r="J87" s="1" t="s">
        <v>34</v>
      </c>
      <c r="M87" s="38"/>
    </row>
    <row r="88">
      <c r="A88" s="1" t="s">
        <v>264</v>
      </c>
      <c r="B88" s="1">
        <v>23.0</v>
      </c>
      <c r="C88" s="1">
        <v>17.0</v>
      </c>
      <c r="D88" s="1" t="s">
        <v>96</v>
      </c>
      <c r="E88" s="1" t="s">
        <v>133</v>
      </c>
      <c r="J88" s="1" t="s">
        <v>20</v>
      </c>
      <c r="M88" s="38"/>
    </row>
    <row r="89">
      <c r="A89" s="1" t="s">
        <v>392</v>
      </c>
      <c r="B89" s="1">
        <v>24.0</v>
      </c>
      <c r="C89" s="1">
        <v>27.59</v>
      </c>
      <c r="D89" s="1" t="s">
        <v>96</v>
      </c>
      <c r="E89" s="1" t="s">
        <v>133</v>
      </c>
      <c r="J89" s="1" t="s">
        <v>24</v>
      </c>
      <c r="M89" s="38"/>
    </row>
    <row r="90">
      <c r="A90" s="1" t="s">
        <v>650</v>
      </c>
      <c r="B90" s="1">
        <v>24.0</v>
      </c>
      <c r="C90" s="1">
        <v>40.0</v>
      </c>
      <c r="D90" s="1" t="s">
        <v>96</v>
      </c>
      <c r="E90" s="1" t="s">
        <v>156</v>
      </c>
      <c r="J90" s="1" t="s">
        <v>29</v>
      </c>
      <c r="M90" s="38"/>
    </row>
    <row r="91">
      <c r="A91" s="1" t="s">
        <v>651</v>
      </c>
      <c r="B91" s="1">
        <v>24.0</v>
      </c>
      <c r="C91" s="1">
        <f>59.9+107.99</f>
        <v>167.89</v>
      </c>
      <c r="D91" s="1" t="s">
        <v>96</v>
      </c>
      <c r="E91" s="1" t="s">
        <v>156</v>
      </c>
      <c r="J91" s="1" t="s">
        <v>29</v>
      </c>
      <c r="M91" s="38"/>
    </row>
    <row r="92">
      <c r="A92" s="1" t="s">
        <v>652</v>
      </c>
      <c r="B92" s="1">
        <v>21.0</v>
      </c>
      <c r="C92" s="1">
        <v>900.0</v>
      </c>
      <c r="D92" s="1" t="s">
        <v>96</v>
      </c>
      <c r="E92" s="1" t="s">
        <v>156</v>
      </c>
      <c r="J92" s="1" t="s">
        <v>42</v>
      </c>
      <c r="M92" s="38"/>
    </row>
    <row r="93">
      <c r="A93" s="1" t="s">
        <v>653</v>
      </c>
      <c r="B93" s="1">
        <v>21.0</v>
      </c>
      <c r="C93" s="1">
        <v>35.0</v>
      </c>
      <c r="D93" s="1" t="s">
        <v>96</v>
      </c>
      <c r="E93" s="1" t="s">
        <v>156</v>
      </c>
      <c r="J93" s="1" t="s">
        <v>42</v>
      </c>
      <c r="M93" s="38"/>
    </row>
    <row r="94">
      <c r="A94" s="1" t="s">
        <v>654</v>
      </c>
      <c r="B94" s="1">
        <v>21.0</v>
      </c>
      <c r="C94" s="1">
        <v>990.0</v>
      </c>
      <c r="D94" s="1" t="s">
        <v>96</v>
      </c>
      <c r="E94" s="1" t="s">
        <v>156</v>
      </c>
      <c r="J94" s="1" t="s">
        <v>28</v>
      </c>
      <c r="M94" s="38"/>
    </row>
    <row r="95">
      <c r="A95" s="1" t="s">
        <v>655</v>
      </c>
      <c r="B95" s="1">
        <v>25.0</v>
      </c>
      <c r="C95" s="1">
        <v>20.0</v>
      </c>
      <c r="D95" s="1" t="s">
        <v>96</v>
      </c>
      <c r="E95" s="1" t="s">
        <v>156</v>
      </c>
      <c r="J95" s="1" t="s">
        <v>21</v>
      </c>
      <c r="M95" s="38"/>
    </row>
    <row r="96">
      <c r="A96" s="1" t="s">
        <v>656</v>
      </c>
      <c r="B96" s="1">
        <v>21.0</v>
      </c>
      <c r="C96" s="1">
        <v>69.9</v>
      </c>
      <c r="D96" s="1" t="s">
        <v>96</v>
      </c>
      <c r="E96" s="1" t="s">
        <v>156</v>
      </c>
      <c r="J96" s="1" t="s">
        <v>28</v>
      </c>
      <c r="M96" s="38"/>
    </row>
    <row r="97">
      <c r="A97" s="1" t="s">
        <v>300</v>
      </c>
      <c r="B97" s="1">
        <v>24.0</v>
      </c>
      <c r="C97" s="1">
        <v>18.45</v>
      </c>
      <c r="D97" s="1" t="s">
        <v>96</v>
      </c>
      <c r="E97" s="1" t="s">
        <v>133</v>
      </c>
      <c r="J97" s="1" t="s">
        <v>29</v>
      </c>
      <c r="M97" s="38"/>
    </row>
    <row r="98">
      <c r="A98" s="1" t="s">
        <v>254</v>
      </c>
      <c r="B98" s="1">
        <v>24.0</v>
      </c>
      <c r="C98" s="1">
        <v>118.9</v>
      </c>
      <c r="D98" s="1" t="s">
        <v>96</v>
      </c>
      <c r="E98" s="1" t="s">
        <v>133</v>
      </c>
      <c r="J98" s="1" t="s">
        <v>15</v>
      </c>
      <c r="M98" s="38"/>
    </row>
    <row r="99">
      <c r="A99" s="1" t="s">
        <v>657</v>
      </c>
      <c r="B99" s="1">
        <v>24.0</v>
      </c>
      <c r="C99" s="1">
        <v>84.98</v>
      </c>
      <c r="D99" s="1" t="s">
        <v>96</v>
      </c>
      <c r="E99" s="1" t="s">
        <v>133</v>
      </c>
      <c r="J99" s="1" t="s">
        <v>31</v>
      </c>
      <c r="M99" s="38"/>
    </row>
    <row r="100">
      <c r="A100" s="1" t="s">
        <v>658</v>
      </c>
      <c r="B100" s="1">
        <v>24.0</v>
      </c>
      <c r="C100" s="1">
        <v>89.98</v>
      </c>
      <c r="D100" s="1" t="s">
        <v>96</v>
      </c>
      <c r="E100" s="1" t="s">
        <v>133</v>
      </c>
      <c r="J100" s="1" t="s">
        <v>31</v>
      </c>
      <c r="M100" s="38"/>
    </row>
    <row r="101">
      <c r="A101" s="1" t="s">
        <v>444</v>
      </c>
      <c r="B101" s="1">
        <v>24.0</v>
      </c>
      <c r="C101" s="1">
        <v>304.91</v>
      </c>
      <c r="D101" s="1" t="s">
        <v>96</v>
      </c>
      <c r="E101" s="1" t="s">
        <v>133</v>
      </c>
      <c r="J101" s="1" t="s">
        <v>31</v>
      </c>
      <c r="M101" s="38"/>
    </row>
    <row r="102">
      <c r="A102" s="1" t="s">
        <v>864</v>
      </c>
      <c r="B102" s="1">
        <v>22.0</v>
      </c>
      <c r="C102" s="1">
        <v>248.0</v>
      </c>
      <c r="D102" s="1" t="s">
        <v>96</v>
      </c>
      <c r="E102" s="1" t="s">
        <v>156</v>
      </c>
      <c r="J102" s="1" t="s">
        <v>32</v>
      </c>
      <c r="M102" s="38"/>
    </row>
    <row r="103">
      <c r="A103" s="1"/>
      <c r="J103" s="14"/>
      <c r="M103" s="38"/>
    </row>
    <row r="104">
      <c r="A104" s="1" t="s">
        <v>236</v>
      </c>
      <c r="C104" s="1">
        <f>8892.96*0.3-(633.9)</f>
        <v>2033.988</v>
      </c>
      <c r="M104" s="38"/>
    </row>
    <row r="105">
      <c r="A105" s="1" t="s">
        <v>50</v>
      </c>
      <c r="C105" s="8">
        <f>SUM(C2:C102)</f>
        <v>12200.44</v>
      </c>
      <c r="D105" s="8">
        <f>(8968.96+7000+3500)-C105-C104</f>
        <v>5234.532</v>
      </c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6" t="s">
        <v>240</v>
      </c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M150" s="38"/>
    </row>
    <row r="151">
      <c r="M151" s="38"/>
    </row>
    <row r="152">
      <c r="M152" s="38"/>
    </row>
    <row r="153">
      <c r="M153" s="38"/>
    </row>
    <row r="154">
      <c r="B154" s="14">
        <f>8892+7000+3500-B152</f>
        <v>19392</v>
      </c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</sheetData>
  <autoFilter ref="$A$1:$BV$102"/>
  <conditionalFormatting sqref="B154">
    <cfRule type="cellIs" dxfId="1" priority="1" operator="greaterThanOrEqual">
      <formula>0</formula>
    </cfRule>
  </conditionalFormatting>
  <conditionalFormatting sqref="B154">
    <cfRule type="cellIs" dxfId="2" priority="2" operator="lessThan">
      <formula>0</formula>
    </cfRule>
  </conditionalFormatting>
  <dataValidations>
    <dataValidation type="list" allowBlank="1" showErrorMessage="1" sqref="J2:J103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660.0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7.0</v>
      </c>
      <c r="C3" s="52">
        <f>992</f>
        <v>992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1" t="s">
        <v>106</v>
      </c>
      <c r="B5" s="1">
        <v>14.0</v>
      </c>
      <c r="C5" s="37">
        <v>333.32</v>
      </c>
      <c r="D5" s="1" t="s">
        <v>96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  <c r="M5" s="38"/>
    </row>
    <row r="6">
      <c r="A6" s="1" t="s">
        <v>111</v>
      </c>
      <c r="B6" s="1">
        <v>11.0</v>
      </c>
      <c r="C6" s="37">
        <v>99.0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/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14.99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>
        <v>45272.0</v>
      </c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v>50.0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264</v>
      </c>
      <c r="B23" s="1">
        <v>1.0</v>
      </c>
      <c r="C23" s="1">
        <v>17.0</v>
      </c>
      <c r="D23" s="1" t="s">
        <v>96</v>
      </c>
      <c r="E23" s="1" t="s">
        <v>105</v>
      </c>
      <c r="J23" s="1" t="s">
        <v>20</v>
      </c>
      <c r="M23" s="38"/>
    </row>
    <row r="24">
      <c r="A24" s="1" t="s">
        <v>765</v>
      </c>
      <c r="B24" s="1">
        <v>1.0</v>
      </c>
      <c r="C24" s="1">
        <v>9.65</v>
      </c>
      <c r="D24" s="1" t="s">
        <v>96</v>
      </c>
      <c r="E24" s="1" t="s">
        <v>105</v>
      </c>
      <c r="G24" s="1"/>
      <c r="J24" s="1" t="s">
        <v>24</v>
      </c>
      <c r="M24" s="38"/>
    </row>
    <row r="25">
      <c r="A25" s="1" t="s">
        <v>416</v>
      </c>
      <c r="B25" s="1">
        <v>26.0</v>
      </c>
      <c r="C25" s="1">
        <v>33.89</v>
      </c>
      <c r="D25" s="1" t="s">
        <v>96</v>
      </c>
      <c r="E25" s="1" t="s">
        <v>105</v>
      </c>
      <c r="G25" s="1"/>
      <c r="J25" s="1" t="s">
        <v>34</v>
      </c>
      <c r="M25" s="38"/>
    </row>
    <row r="26">
      <c r="A26" s="1" t="s">
        <v>865</v>
      </c>
      <c r="B26" s="1">
        <v>26.0</v>
      </c>
      <c r="C26" s="1">
        <v>75.5</v>
      </c>
      <c r="D26" s="1" t="s">
        <v>96</v>
      </c>
      <c r="E26" s="1" t="s">
        <v>105</v>
      </c>
      <c r="G26" s="1"/>
      <c r="J26" s="1" t="s">
        <v>34</v>
      </c>
      <c r="M26" s="38"/>
    </row>
    <row r="27">
      <c r="A27" s="1" t="s">
        <v>154</v>
      </c>
      <c r="B27" s="1">
        <v>1.0</v>
      </c>
      <c r="C27" s="1">
        <v>5.0</v>
      </c>
      <c r="D27" s="1" t="s">
        <v>96</v>
      </c>
      <c r="E27" s="1" t="s">
        <v>105</v>
      </c>
      <c r="G27" s="1"/>
      <c r="J27" s="1" t="s">
        <v>39</v>
      </c>
      <c r="M27" s="38"/>
    </row>
    <row r="28">
      <c r="A28" s="1" t="s">
        <v>812</v>
      </c>
      <c r="B28" s="1">
        <v>1.0</v>
      </c>
      <c r="C28" s="1">
        <v>25.0</v>
      </c>
      <c r="D28" s="1" t="s">
        <v>96</v>
      </c>
      <c r="E28" s="1" t="s">
        <v>133</v>
      </c>
      <c r="G28" s="1"/>
      <c r="J28" s="1" t="s">
        <v>18</v>
      </c>
      <c r="M28" s="38"/>
    </row>
    <row r="29">
      <c r="A29" s="1" t="s">
        <v>165</v>
      </c>
      <c r="B29" s="1">
        <v>1.0</v>
      </c>
      <c r="C29" s="1">
        <v>290.52</v>
      </c>
      <c r="D29" s="1" t="s">
        <v>96</v>
      </c>
      <c r="E29" s="1" t="s">
        <v>133</v>
      </c>
      <c r="G29" s="1"/>
      <c r="J29" s="1" t="s">
        <v>29</v>
      </c>
      <c r="M29" s="38"/>
    </row>
    <row r="30">
      <c r="A30" s="1" t="s">
        <v>765</v>
      </c>
      <c r="B30" s="1">
        <v>1.0</v>
      </c>
      <c r="C30" s="1">
        <v>15.4</v>
      </c>
      <c r="D30" s="1" t="s">
        <v>96</v>
      </c>
      <c r="E30" s="1" t="s">
        <v>133</v>
      </c>
      <c r="G30" s="1"/>
      <c r="J30" s="1" t="s">
        <v>24</v>
      </c>
      <c r="M30" s="38"/>
    </row>
    <row r="31">
      <c r="A31" s="1" t="s">
        <v>154</v>
      </c>
      <c r="B31" s="1">
        <v>1.0</v>
      </c>
      <c r="C31" s="1">
        <v>5.0</v>
      </c>
      <c r="D31" s="1" t="s">
        <v>96</v>
      </c>
      <c r="E31" s="1" t="s">
        <v>133</v>
      </c>
      <c r="G31" s="1"/>
      <c r="J31" s="1" t="s">
        <v>39</v>
      </c>
      <c r="M31" s="38"/>
    </row>
    <row r="32">
      <c r="A32" s="1" t="s">
        <v>812</v>
      </c>
      <c r="B32" s="1">
        <v>1.0</v>
      </c>
      <c r="C32" s="1">
        <v>39.95</v>
      </c>
      <c r="D32" s="1" t="s">
        <v>96</v>
      </c>
      <c r="E32" s="1" t="s">
        <v>133</v>
      </c>
      <c r="G32" s="1"/>
      <c r="J32" s="1" t="s">
        <v>18</v>
      </c>
      <c r="M32" s="38"/>
    </row>
    <row r="33">
      <c r="A33" s="1" t="s">
        <v>866</v>
      </c>
      <c r="B33" s="1">
        <v>1.0</v>
      </c>
      <c r="C33" s="1">
        <v>170.0</v>
      </c>
      <c r="D33" s="1" t="s">
        <v>96</v>
      </c>
      <c r="E33" s="1" t="s">
        <v>133</v>
      </c>
      <c r="G33" s="1"/>
      <c r="J33" s="1" t="s">
        <v>31</v>
      </c>
      <c r="M33" s="38"/>
    </row>
    <row r="34">
      <c r="A34" s="1" t="s">
        <v>280</v>
      </c>
      <c r="B34" s="1">
        <v>1.0</v>
      </c>
      <c r="C34" s="1">
        <v>26.99</v>
      </c>
      <c r="D34" s="1" t="s">
        <v>96</v>
      </c>
      <c r="E34" s="1" t="s">
        <v>133</v>
      </c>
      <c r="G34" s="1"/>
      <c r="J34" s="1" t="s">
        <v>25</v>
      </c>
      <c r="M34" s="38"/>
    </row>
    <row r="35">
      <c r="A35" s="1" t="s">
        <v>812</v>
      </c>
      <c r="B35" s="1">
        <v>1.0</v>
      </c>
      <c r="C35" s="1">
        <v>50.0</v>
      </c>
      <c r="D35" s="1" t="s">
        <v>96</v>
      </c>
      <c r="E35" s="1" t="s">
        <v>133</v>
      </c>
      <c r="G35" s="1"/>
      <c r="J35" s="1" t="s">
        <v>18</v>
      </c>
      <c r="M35" s="38"/>
    </row>
    <row r="36">
      <c r="A36" s="1" t="s">
        <v>867</v>
      </c>
      <c r="B36" s="1">
        <v>2.0</v>
      </c>
      <c r="C36" s="1">
        <v>398.58</v>
      </c>
      <c r="D36" s="1" t="s">
        <v>96</v>
      </c>
      <c r="E36" s="1" t="s">
        <v>156</v>
      </c>
      <c r="G36" s="1"/>
      <c r="J36" s="1" t="s">
        <v>41</v>
      </c>
      <c r="M36" s="38"/>
    </row>
    <row r="37">
      <c r="A37" s="1" t="s">
        <v>868</v>
      </c>
      <c r="B37" s="1">
        <v>3.0</v>
      </c>
      <c r="C37" s="1">
        <v>69.8</v>
      </c>
      <c r="D37" s="1" t="s">
        <v>96</v>
      </c>
      <c r="E37" s="1" t="s">
        <v>133</v>
      </c>
      <c r="G37" s="1"/>
      <c r="J37" s="1" t="s">
        <v>28</v>
      </c>
      <c r="M37" s="36" t="s">
        <v>43</v>
      </c>
    </row>
    <row r="38">
      <c r="A38" s="1" t="s">
        <v>869</v>
      </c>
      <c r="B38" s="1">
        <v>3.0</v>
      </c>
      <c r="C38" s="1">
        <v>29.95</v>
      </c>
      <c r="D38" s="1" t="s">
        <v>96</v>
      </c>
      <c r="E38" s="1" t="s">
        <v>133</v>
      </c>
      <c r="G38" s="1"/>
      <c r="J38" s="1" t="s">
        <v>28</v>
      </c>
      <c r="M38" s="38"/>
    </row>
    <row r="39">
      <c r="A39" s="1" t="s">
        <v>830</v>
      </c>
      <c r="B39" s="1">
        <v>3.0</v>
      </c>
      <c r="C39" s="1">
        <v>39.95</v>
      </c>
      <c r="D39" s="1" t="s">
        <v>96</v>
      </c>
      <c r="E39" s="1" t="s">
        <v>133</v>
      </c>
      <c r="G39" s="1"/>
      <c r="J39" s="1" t="s">
        <v>28</v>
      </c>
      <c r="M39" s="38"/>
    </row>
    <row r="40">
      <c r="A40" s="1" t="s">
        <v>862</v>
      </c>
      <c r="B40" s="1">
        <v>4.0</v>
      </c>
      <c r="C40" s="1">
        <v>200.0</v>
      </c>
      <c r="D40" s="1" t="s">
        <v>96</v>
      </c>
      <c r="E40" s="1" t="s">
        <v>133</v>
      </c>
      <c r="G40" s="1"/>
      <c r="J40" s="1" t="s">
        <v>28</v>
      </c>
      <c r="M40" s="38"/>
    </row>
    <row r="41">
      <c r="A41" s="1" t="s">
        <v>870</v>
      </c>
      <c r="B41" s="1">
        <v>4.0</v>
      </c>
      <c r="C41" s="1">
        <v>35.0</v>
      </c>
      <c r="D41" s="1" t="s">
        <v>96</v>
      </c>
      <c r="E41" s="1" t="s">
        <v>133</v>
      </c>
      <c r="G41" s="1"/>
      <c r="J41" s="1" t="s">
        <v>42</v>
      </c>
      <c r="M41" s="38"/>
    </row>
    <row r="42">
      <c r="A42" s="1" t="s">
        <v>871</v>
      </c>
      <c r="B42" s="1">
        <v>4.0</v>
      </c>
      <c r="C42" s="1">
        <v>19.99</v>
      </c>
      <c r="D42" s="1" t="s">
        <v>96</v>
      </c>
      <c r="E42" s="1" t="s">
        <v>133</v>
      </c>
      <c r="G42" s="1"/>
      <c r="J42" s="1" t="s">
        <v>41</v>
      </c>
      <c r="M42" s="38"/>
    </row>
    <row r="43">
      <c r="A43" s="1" t="s">
        <v>739</v>
      </c>
      <c r="B43" s="1">
        <v>4.0</v>
      </c>
      <c r="C43" s="1">
        <v>25.67</v>
      </c>
      <c r="D43" s="1" t="s">
        <v>96</v>
      </c>
      <c r="E43" s="1" t="s">
        <v>133</v>
      </c>
      <c r="G43" s="1"/>
      <c r="J43" s="1" t="s">
        <v>25</v>
      </c>
      <c r="M43" s="38"/>
    </row>
    <row r="44">
      <c r="A44" s="1" t="s">
        <v>154</v>
      </c>
      <c r="B44" s="1">
        <v>5.0</v>
      </c>
      <c r="C44" s="1">
        <v>4.0</v>
      </c>
      <c r="D44" s="1" t="s">
        <v>96</v>
      </c>
      <c r="E44" s="1" t="s">
        <v>133</v>
      </c>
      <c r="G44" s="1"/>
      <c r="J44" s="1" t="s">
        <v>39</v>
      </c>
      <c r="M44" s="38"/>
    </row>
    <row r="45">
      <c r="A45" s="1" t="s">
        <v>154</v>
      </c>
      <c r="B45" s="1">
        <v>6.0</v>
      </c>
      <c r="C45" s="1">
        <v>4.0</v>
      </c>
      <c r="D45" s="1" t="s">
        <v>96</v>
      </c>
      <c r="E45" s="1" t="s">
        <v>133</v>
      </c>
      <c r="G45" s="1"/>
      <c r="J45" s="1" t="s">
        <v>39</v>
      </c>
      <c r="M45" s="38"/>
    </row>
    <row r="46">
      <c r="A46" s="1" t="s">
        <v>872</v>
      </c>
      <c r="B46" s="1">
        <v>6.0</v>
      </c>
      <c r="C46" s="1">
        <v>16.0</v>
      </c>
      <c r="D46" s="1" t="s">
        <v>96</v>
      </c>
      <c r="E46" s="1" t="s">
        <v>133</v>
      </c>
      <c r="G46" s="1"/>
      <c r="J46" s="1" t="s">
        <v>42</v>
      </c>
      <c r="M46" s="38"/>
    </row>
    <row r="47">
      <c r="A47" s="1" t="s">
        <v>873</v>
      </c>
      <c r="B47" s="1">
        <v>7.0</v>
      </c>
      <c r="C47" s="1">
        <v>19.75</v>
      </c>
      <c r="D47" s="1" t="s">
        <v>96</v>
      </c>
      <c r="E47" s="1" t="s">
        <v>133</v>
      </c>
      <c r="G47" s="1"/>
      <c r="J47" s="1" t="s">
        <v>34</v>
      </c>
      <c r="M47" s="38"/>
    </row>
    <row r="48">
      <c r="A48" s="1" t="s">
        <v>874</v>
      </c>
      <c r="B48" s="1">
        <v>7.0</v>
      </c>
      <c r="C48" s="1">
        <v>29.99</v>
      </c>
      <c r="D48" s="1" t="s">
        <v>96</v>
      </c>
      <c r="E48" s="1" t="s">
        <v>133</v>
      </c>
      <c r="G48" s="1"/>
      <c r="J48" s="1" t="s">
        <v>34</v>
      </c>
      <c r="M48" s="38"/>
    </row>
    <row r="49">
      <c r="A49" s="1" t="s">
        <v>855</v>
      </c>
      <c r="B49" s="1">
        <v>8.0</v>
      </c>
      <c r="C49" s="1">
        <v>73.78</v>
      </c>
      <c r="D49" s="1" t="s">
        <v>96</v>
      </c>
      <c r="E49" s="1" t="s">
        <v>133</v>
      </c>
      <c r="G49" s="1"/>
      <c r="J49" s="1" t="s">
        <v>18</v>
      </c>
      <c r="M49" s="38"/>
    </row>
    <row r="50">
      <c r="A50" s="1" t="s">
        <v>154</v>
      </c>
      <c r="B50" s="1">
        <v>9.0</v>
      </c>
      <c r="C50" s="1">
        <v>4.0</v>
      </c>
      <c r="D50" s="1" t="s">
        <v>96</v>
      </c>
      <c r="E50" s="1" t="s">
        <v>133</v>
      </c>
      <c r="G50" s="1"/>
      <c r="J50" s="1" t="s">
        <v>39</v>
      </c>
      <c r="M50" s="38"/>
    </row>
    <row r="51">
      <c r="A51" s="1" t="s">
        <v>875</v>
      </c>
      <c r="B51" s="1">
        <v>9.0</v>
      </c>
      <c r="C51" s="1">
        <v>8.27</v>
      </c>
      <c r="D51" s="1" t="s">
        <v>96</v>
      </c>
      <c r="E51" s="1" t="s">
        <v>133</v>
      </c>
      <c r="G51" s="1"/>
      <c r="J51" s="1" t="s">
        <v>34</v>
      </c>
      <c r="M51" s="38"/>
    </row>
    <row r="52">
      <c r="A52" s="1" t="s">
        <v>876</v>
      </c>
      <c r="B52" s="1">
        <v>10.0</v>
      </c>
      <c r="C52" s="1">
        <v>159.31</v>
      </c>
      <c r="D52" s="1" t="s">
        <v>96</v>
      </c>
      <c r="E52" s="1" t="s">
        <v>133</v>
      </c>
      <c r="G52" s="1"/>
      <c r="J52" s="1" t="s">
        <v>29</v>
      </c>
      <c r="M52" s="38"/>
    </row>
    <row r="53">
      <c r="A53" s="1" t="s">
        <v>877</v>
      </c>
      <c r="B53" s="1">
        <v>11.0</v>
      </c>
      <c r="C53" s="1">
        <v>14.9</v>
      </c>
      <c r="D53" s="1" t="s">
        <v>96</v>
      </c>
      <c r="E53" s="1" t="s">
        <v>133</v>
      </c>
      <c r="G53" s="1"/>
      <c r="J53" s="1" t="s">
        <v>34</v>
      </c>
      <c r="M53" s="38"/>
    </row>
    <row r="54">
      <c r="A54" s="1" t="s">
        <v>263</v>
      </c>
      <c r="B54" s="1">
        <v>11.0</v>
      </c>
      <c r="C54" s="1">
        <v>97.9</v>
      </c>
      <c r="D54" s="1" t="s">
        <v>96</v>
      </c>
      <c r="E54" s="1" t="s">
        <v>133</v>
      </c>
      <c r="G54" s="1"/>
      <c r="J54" s="1" t="s">
        <v>28</v>
      </c>
      <c r="M54" s="38"/>
    </row>
    <row r="55">
      <c r="A55" s="1" t="s">
        <v>878</v>
      </c>
      <c r="B55" s="1">
        <v>12.0</v>
      </c>
      <c r="C55" s="1">
        <v>8.0</v>
      </c>
      <c r="D55" s="1" t="s">
        <v>96</v>
      </c>
      <c r="E55" s="1" t="s">
        <v>133</v>
      </c>
      <c r="G55" s="1"/>
      <c r="J55" s="1" t="s">
        <v>34</v>
      </c>
      <c r="M55" s="38"/>
    </row>
    <row r="56">
      <c r="A56" s="1" t="s">
        <v>617</v>
      </c>
      <c r="B56" s="1">
        <v>12.0</v>
      </c>
      <c r="C56" s="1">
        <v>99.0</v>
      </c>
      <c r="D56" s="1" t="s">
        <v>96</v>
      </c>
      <c r="E56" s="1" t="s">
        <v>133</v>
      </c>
      <c r="G56" s="1"/>
      <c r="J56" s="1" t="s">
        <v>29</v>
      </c>
      <c r="M56" s="38"/>
    </row>
    <row r="57">
      <c r="A57" s="1" t="s">
        <v>879</v>
      </c>
      <c r="B57" s="1">
        <v>12.0</v>
      </c>
      <c r="C57" s="1">
        <v>85.6</v>
      </c>
      <c r="D57" s="1" t="s">
        <v>96</v>
      </c>
      <c r="E57" s="1" t="s">
        <v>133</v>
      </c>
      <c r="G57" s="1"/>
      <c r="J57" s="1" t="s">
        <v>32</v>
      </c>
      <c r="M57" s="38"/>
    </row>
    <row r="58">
      <c r="A58" s="1" t="s">
        <v>154</v>
      </c>
      <c r="B58" s="1">
        <v>13.0</v>
      </c>
      <c r="C58" s="1">
        <v>4.0</v>
      </c>
      <c r="D58" s="1" t="s">
        <v>96</v>
      </c>
      <c r="E58" s="1" t="s">
        <v>133</v>
      </c>
      <c r="G58" s="1"/>
      <c r="J58" s="1" t="s">
        <v>39</v>
      </c>
      <c r="M58" s="38"/>
    </row>
    <row r="59">
      <c r="A59" s="1" t="s">
        <v>855</v>
      </c>
      <c r="B59" s="1">
        <v>14.0</v>
      </c>
      <c r="C59" s="1">
        <v>62.78</v>
      </c>
      <c r="D59" s="1" t="s">
        <v>96</v>
      </c>
      <c r="E59" s="1" t="s">
        <v>133</v>
      </c>
      <c r="G59" s="1"/>
      <c r="J59" s="1" t="s">
        <v>18</v>
      </c>
      <c r="M59" s="38"/>
    </row>
    <row r="60">
      <c r="A60" s="1" t="s">
        <v>291</v>
      </c>
      <c r="B60" s="1">
        <v>15.0</v>
      </c>
      <c r="C60" s="1">
        <v>216.72</v>
      </c>
      <c r="D60" s="1" t="s">
        <v>96</v>
      </c>
      <c r="E60" s="1" t="s">
        <v>133</v>
      </c>
      <c r="G60" s="1"/>
      <c r="J60" s="1" t="s">
        <v>34</v>
      </c>
      <c r="M60" s="38"/>
    </row>
    <row r="61">
      <c r="A61" s="1" t="s">
        <v>863</v>
      </c>
      <c r="B61" s="1">
        <v>15.0</v>
      </c>
      <c r="C61" s="1">
        <v>49.84</v>
      </c>
      <c r="D61" s="1" t="s">
        <v>96</v>
      </c>
      <c r="E61" s="1" t="s">
        <v>133</v>
      </c>
      <c r="G61" s="1"/>
      <c r="J61" s="1" t="s">
        <v>32</v>
      </c>
      <c r="M61" s="38"/>
    </row>
    <row r="62">
      <c r="A62" s="1" t="s">
        <v>247</v>
      </c>
      <c r="B62" s="1">
        <v>16.0</v>
      </c>
      <c r="C62" s="1">
        <v>342.0</v>
      </c>
      <c r="D62" s="1" t="s">
        <v>96</v>
      </c>
      <c r="E62" s="1" t="s">
        <v>133</v>
      </c>
      <c r="G62" s="1"/>
      <c r="J62" s="1" t="s">
        <v>29</v>
      </c>
      <c r="M62" s="38"/>
    </row>
    <row r="63">
      <c r="A63" s="1" t="s">
        <v>858</v>
      </c>
      <c r="B63" s="1">
        <v>17.0</v>
      </c>
      <c r="C63" s="1">
        <v>8.0</v>
      </c>
      <c r="D63" s="1" t="s">
        <v>96</v>
      </c>
      <c r="E63" s="1" t="s">
        <v>133</v>
      </c>
      <c r="G63" s="1"/>
      <c r="J63" s="1" t="s">
        <v>28</v>
      </c>
      <c r="M63" s="36" t="s">
        <v>476</v>
      </c>
    </row>
    <row r="64">
      <c r="A64" s="1" t="s">
        <v>154</v>
      </c>
      <c r="B64" s="1">
        <v>17.0</v>
      </c>
      <c r="C64" s="1">
        <v>4.0</v>
      </c>
      <c r="D64" s="1" t="s">
        <v>96</v>
      </c>
      <c r="E64" s="1" t="s">
        <v>133</v>
      </c>
      <c r="G64" s="1"/>
      <c r="J64" s="1" t="s">
        <v>39</v>
      </c>
      <c r="M64" s="36" t="s">
        <v>476</v>
      </c>
    </row>
    <row r="65">
      <c r="A65" s="1" t="s">
        <v>880</v>
      </c>
      <c r="B65" s="1">
        <v>18.0</v>
      </c>
      <c r="C65" s="1">
        <v>30.0</v>
      </c>
      <c r="D65" s="1" t="s">
        <v>96</v>
      </c>
      <c r="E65" s="1" t="s">
        <v>133</v>
      </c>
      <c r="G65" s="1"/>
      <c r="J65" s="1" t="s">
        <v>18</v>
      </c>
      <c r="M65" s="36" t="s">
        <v>476</v>
      </c>
    </row>
    <row r="66">
      <c r="A66" s="1" t="s">
        <v>165</v>
      </c>
      <c r="B66" s="1">
        <v>18.0</v>
      </c>
      <c r="C66" s="1">
        <v>9.96</v>
      </c>
      <c r="D66" s="1" t="s">
        <v>96</v>
      </c>
      <c r="E66" s="1" t="s">
        <v>133</v>
      </c>
      <c r="J66" s="1" t="s">
        <v>29</v>
      </c>
      <c r="M66" s="36" t="s">
        <v>476</v>
      </c>
    </row>
    <row r="67">
      <c r="A67" s="1" t="s">
        <v>855</v>
      </c>
      <c r="B67" s="1">
        <v>20.0</v>
      </c>
      <c r="C67" s="1">
        <v>39.93</v>
      </c>
      <c r="D67" s="1" t="s">
        <v>96</v>
      </c>
      <c r="E67" s="1" t="s">
        <v>133</v>
      </c>
      <c r="J67" s="1" t="s">
        <v>18</v>
      </c>
      <c r="M67" s="36" t="s">
        <v>476</v>
      </c>
    </row>
    <row r="68">
      <c r="A68" s="1" t="s">
        <v>154</v>
      </c>
      <c r="B68" s="1">
        <v>21.0</v>
      </c>
      <c r="C68" s="1">
        <v>4.0</v>
      </c>
      <c r="D68" s="1" t="s">
        <v>96</v>
      </c>
      <c r="E68" s="1" t="s">
        <v>133</v>
      </c>
      <c r="J68" s="1" t="s">
        <v>39</v>
      </c>
      <c r="M68" s="36" t="s">
        <v>476</v>
      </c>
    </row>
    <row r="69">
      <c r="A69" s="1" t="s">
        <v>881</v>
      </c>
      <c r="B69" s="1">
        <v>21.0</v>
      </c>
      <c r="C69" s="1">
        <v>43.81</v>
      </c>
      <c r="D69" s="1" t="s">
        <v>96</v>
      </c>
      <c r="E69" s="1" t="s">
        <v>133</v>
      </c>
      <c r="J69" s="1" t="s">
        <v>32</v>
      </c>
      <c r="M69" s="36" t="s">
        <v>476</v>
      </c>
    </row>
    <row r="70">
      <c r="A70" s="1" t="s">
        <v>154</v>
      </c>
      <c r="B70" s="1">
        <v>22.0</v>
      </c>
      <c r="C70" s="1">
        <v>4.0</v>
      </c>
      <c r="D70" s="1" t="s">
        <v>96</v>
      </c>
      <c r="E70" s="1" t="s">
        <v>133</v>
      </c>
      <c r="J70" s="1" t="s">
        <v>39</v>
      </c>
      <c r="M70" s="36" t="s">
        <v>476</v>
      </c>
    </row>
    <row r="71">
      <c r="A71" s="1" t="s">
        <v>882</v>
      </c>
      <c r="B71" s="1">
        <v>22.0</v>
      </c>
      <c r="C71" s="1">
        <v>290.99</v>
      </c>
      <c r="D71" s="1" t="s">
        <v>96</v>
      </c>
      <c r="E71" s="1" t="s">
        <v>133</v>
      </c>
      <c r="H71" s="1" t="s">
        <v>129</v>
      </c>
      <c r="I71" s="1" t="s">
        <v>129</v>
      </c>
      <c r="J71" s="1" t="s">
        <v>31</v>
      </c>
      <c r="K71" s="42">
        <v>44959.0</v>
      </c>
      <c r="M71" s="36" t="s">
        <v>476</v>
      </c>
    </row>
    <row r="72">
      <c r="A72" s="1" t="s">
        <v>868</v>
      </c>
      <c r="B72" s="1">
        <v>23.0</v>
      </c>
      <c r="C72" s="1">
        <v>8.0</v>
      </c>
      <c r="D72" s="1" t="s">
        <v>96</v>
      </c>
      <c r="E72" s="1" t="s">
        <v>133</v>
      </c>
      <c r="J72" s="1" t="s">
        <v>28</v>
      </c>
      <c r="M72" s="36" t="s">
        <v>476</v>
      </c>
    </row>
    <row r="73">
      <c r="A73" s="1" t="s">
        <v>883</v>
      </c>
      <c r="B73" s="1">
        <v>23.0</v>
      </c>
      <c r="C73" s="1">
        <v>56.0</v>
      </c>
      <c r="D73" s="1" t="s">
        <v>96</v>
      </c>
      <c r="E73" s="1" t="s">
        <v>133</v>
      </c>
      <c r="J73" s="1" t="s">
        <v>32</v>
      </c>
      <c r="M73" s="36" t="s">
        <v>476</v>
      </c>
    </row>
    <row r="74">
      <c r="A74" s="1" t="s">
        <v>884</v>
      </c>
      <c r="B74" s="1">
        <v>23.0</v>
      </c>
      <c r="C74" s="1">
        <v>19.85</v>
      </c>
      <c r="D74" s="1" t="s">
        <v>96</v>
      </c>
      <c r="E74" s="1" t="s">
        <v>133</v>
      </c>
      <c r="J74" s="1" t="s">
        <v>24</v>
      </c>
      <c r="M74" s="36" t="s">
        <v>476</v>
      </c>
    </row>
    <row r="75">
      <c r="A75" s="1" t="s">
        <v>835</v>
      </c>
      <c r="B75" s="1">
        <v>23.0</v>
      </c>
      <c r="C75" s="1">
        <v>48.32</v>
      </c>
      <c r="D75" s="1" t="s">
        <v>96</v>
      </c>
      <c r="E75" s="1" t="s">
        <v>133</v>
      </c>
      <c r="J75" s="1" t="s">
        <v>29</v>
      </c>
      <c r="M75" s="36" t="s">
        <v>476</v>
      </c>
    </row>
    <row r="76">
      <c r="A76" s="1" t="s">
        <v>269</v>
      </c>
      <c r="B76" s="1">
        <v>23.0</v>
      </c>
      <c r="C76" s="1">
        <v>43.8</v>
      </c>
      <c r="D76" s="1" t="s">
        <v>96</v>
      </c>
      <c r="E76" s="1" t="s">
        <v>133</v>
      </c>
      <c r="J76" s="1" t="s">
        <v>28</v>
      </c>
      <c r="M76" s="36" t="s">
        <v>476</v>
      </c>
    </row>
    <row r="77">
      <c r="A77" s="1" t="s">
        <v>233</v>
      </c>
      <c r="B77" s="1">
        <v>25.0</v>
      </c>
      <c r="C77" s="1">
        <v>362.8</v>
      </c>
      <c r="D77" s="1" t="s">
        <v>96</v>
      </c>
      <c r="E77" s="1" t="s">
        <v>133</v>
      </c>
      <c r="J77" s="1" t="s">
        <v>28</v>
      </c>
      <c r="M77" s="36" t="s">
        <v>476</v>
      </c>
    </row>
    <row r="78">
      <c r="A78" s="1" t="s">
        <v>885</v>
      </c>
      <c r="B78" s="1">
        <v>25.0</v>
      </c>
      <c r="C78" s="1">
        <v>150.01</v>
      </c>
      <c r="D78" s="1" t="s">
        <v>96</v>
      </c>
      <c r="E78" s="1" t="s">
        <v>133</v>
      </c>
      <c r="J78" s="1" t="s">
        <v>32</v>
      </c>
      <c r="M78" s="36" t="s">
        <v>476</v>
      </c>
    </row>
    <row r="79">
      <c r="A79" s="1" t="s">
        <v>271</v>
      </c>
      <c r="B79" s="1">
        <v>25.0</v>
      </c>
      <c r="C79" s="1">
        <v>28.52</v>
      </c>
      <c r="D79" s="1" t="s">
        <v>96</v>
      </c>
      <c r="E79" s="1" t="s">
        <v>133</v>
      </c>
      <c r="J79" s="1" t="s">
        <v>29</v>
      </c>
      <c r="M79" s="36" t="s">
        <v>476</v>
      </c>
    </row>
    <row r="80">
      <c r="A80" s="1" t="s">
        <v>271</v>
      </c>
      <c r="B80" s="1">
        <v>26.0</v>
      </c>
      <c r="C80" s="1">
        <v>92.12</v>
      </c>
      <c r="D80" s="1" t="s">
        <v>96</v>
      </c>
      <c r="E80" s="1" t="s">
        <v>133</v>
      </c>
      <c r="J80" s="1" t="s">
        <v>29</v>
      </c>
      <c r="M80" s="38"/>
    </row>
    <row r="81">
      <c r="A81" s="1" t="s">
        <v>165</v>
      </c>
      <c r="B81" s="1">
        <v>21.0</v>
      </c>
      <c r="C81" s="1">
        <v>0.0</v>
      </c>
      <c r="D81" s="1" t="s">
        <v>96</v>
      </c>
      <c r="E81" s="1" t="s">
        <v>133</v>
      </c>
      <c r="J81" s="1" t="s">
        <v>29</v>
      </c>
      <c r="M81" s="38"/>
    </row>
    <row r="82">
      <c r="A82" s="1" t="s">
        <v>765</v>
      </c>
      <c r="B82" s="1">
        <v>22.0</v>
      </c>
      <c r="C82" s="1">
        <v>0.0</v>
      </c>
      <c r="D82" s="1" t="s">
        <v>96</v>
      </c>
      <c r="E82" s="1" t="s">
        <v>133</v>
      </c>
      <c r="J82" s="1" t="s">
        <v>24</v>
      </c>
      <c r="M82" s="38"/>
    </row>
    <row r="83">
      <c r="A83" s="1" t="s">
        <v>154</v>
      </c>
      <c r="B83" s="1">
        <v>23.0</v>
      </c>
      <c r="C83" s="1">
        <v>0.0</v>
      </c>
      <c r="D83" s="1" t="s">
        <v>96</v>
      </c>
      <c r="E83" s="1" t="s">
        <v>133</v>
      </c>
      <c r="J83" s="1" t="s">
        <v>39</v>
      </c>
      <c r="M83" s="38"/>
    </row>
    <row r="84">
      <c r="A84" s="1" t="s">
        <v>269</v>
      </c>
      <c r="B84" s="1">
        <v>24.0</v>
      </c>
      <c r="C84" s="1">
        <v>0.0</v>
      </c>
      <c r="D84" s="1" t="s">
        <v>96</v>
      </c>
      <c r="E84" s="1" t="s">
        <v>133</v>
      </c>
      <c r="J84" s="1" t="s">
        <v>28</v>
      </c>
      <c r="M84" s="38"/>
    </row>
    <row r="85">
      <c r="A85" s="1" t="s">
        <v>809</v>
      </c>
      <c r="B85" s="1">
        <v>24.0</v>
      </c>
      <c r="C85" s="1">
        <v>0.0</v>
      </c>
      <c r="D85" s="1" t="s">
        <v>96</v>
      </c>
      <c r="E85" s="1" t="s">
        <v>133</v>
      </c>
      <c r="J85" s="1" t="s">
        <v>28</v>
      </c>
      <c r="M85" s="38"/>
    </row>
    <row r="86">
      <c r="A86" s="1" t="s">
        <v>271</v>
      </c>
      <c r="B86" s="1">
        <v>24.0</v>
      </c>
      <c r="C86" s="1">
        <v>0.0</v>
      </c>
      <c r="D86" s="1" t="s">
        <v>96</v>
      </c>
      <c r="E86" s="1" t="s">
        <v>133</v>
      </c>
      <c r="J86" s="1" t="s">
        <v>29</v>
      </c>
      <c r="M86" s="38"/>
    </row>
    <row r="87">
      <c r="A87" s="1" t="s">
        <v>233</v>
      </c>
      <c r="B87" s="1">
        <v>25.0</v>
      </c>
      <c r="C87" s="1">
        <v>0.0</v>
      </c>
      <c r="D87" s="1" t="s">
        <v>96</v>
      </c>
      <c r="E87" s="1" t="s">
        <v>133</v>
      </c>
      <c r="J87" s="1" t="s">
        <v>28</v>
      </c>
      <c r="M87" s="38"/>
    </row>
    <row r="88">
      <c r="A88" s="1" t="s">
        <v>886</v>
      </c>
      <c r="B88" s="1">
        <v>25.0</v>
      </c>
      <c r="C88" s="1">
        <v>0.0</v>
      </c>
      <c r="D88" s="1" t="s">
        <v>96</v>
      </c>
      <c r="E88" s="1" t="s">
        <v>133</v>
      </c>
      <c r="J88" s="1" t="s">
        <v>29</v>
      </c>
      <c r="M88" s="38"/>
    </row>
    <row r="89">
      <c r="A89" s="1" t="s">
        <v>868</v>
      </c>
      <c r="B89" s="1">
        <v>25.0</v>
      </c>
      <c r="C89" s="1">
        <v>0.0</v>
      </c>
      <c r="D89" s="1" t="s">
        <v>96</v>
      </c>
      <c r="E89" s="1" t="s">
        <v>133</v>
      </c>
      <c r="J89" s="1" t="s">
        <v>28</v>
      </c>
      <c r="M89" s="38"/>
    </row>
    <row r="90">
      <c r="A90" s="1" t="s">
        <v>617</v>
      </c>
      <c r="B90" s="1">
        <v>25.0</v>
      </c>
      <c r="C90" s="1">
        <v>0.0</v>
      </c>
      <c r="D90" s="1" t="s">
        <v>96</v>
      </c>
      <c r="E90" s="1" t="s">
        <v>133</v>
      </c>
      <c r="J90" s="1" t="s">
        <v>29</v>
      </c>
      <c r="M90" s="38"/>
    </row>
    <row r="91">
      <c r="A91" s="1" t="s">
        <v>271</v>
      </c>
      <c r="B91" s="1">
        <v>25.0</v>
      </c>
      <c r="C91" s="1">
        <v>0.0</v>
      </c>
      <c r="D91" s="1" t="s">
        <v>96</v>
      </c>
      <c r="E91" s="1" t="s">
        <v>133</v>
      </c>
      <c r="J91" s="1" t="s">
        <v>29</v>
      </c>
      <c r="M91" s="38"/>
    </row>
    <row r="92">
      <c r="A92" s="1" t="s">
        <v>887</v>
      </c>
      <c r="B92" s="1">
        <v>25.0</v>
      </c>
      <c r="C92" s="1">
        <v>0.0</v>
      </c>
      <c r="D92" s="1" t="s">
        <v>96</v>
      </c>
      <c r="E92" s="1" t="s">
        <v>133</v>
      </c>
      <c r="J92" s="1" t="s">
        <v>28</v>
      </c>
      <c r="M92" s="38"/>
    </row>
    <row r="93">
      <c r="A93" s="1" t="s">
        <v>888</v>
      </c>
      <c r="B93" s="1">
        <v>26.0</v>
      </c>
      <c r="C93" s="1">
        <v>0.0</v>
      </c>
      <c r="D93" s="1" t="s">
        <v>96</v>
      </c>
      <c r="E93" s="1" t="s">
        <v>117</v>
      </c>
      <c r="J93" s="1" t="s">
        <v>33</v>
      </c>
      <c r="M93" s="38"/>
    </row>
    <row r="94">
      <c r="A94" s="1" t="s">
        <v>889</v>
      </c>
      <c r="B94" s="1">
        <v>25.0</v>
      </c>
      <c r="C94" s="1">
        <v>0.0</v>
      </c>
      <c r="D94" s="1" t="s">
        <v>96</v>
      </c>
      <c r="E94" s="1" t="s">
        <v>117</v>
      </c>
      <c r="J94" s="1" t="s">
        <v>29</v>
      </c>
      <c r="M94" s="38"/>
    </row>
    <row r="95">
      <c r="A95" s="1" t="s">
        <v>890</v>
      </c>
      <c r="B95" s="1">
        <v>25.0</v>
      </c>
      <c r="C95" s="1">
        <v>0.0</v>
      </c>
      <c r="D95" s="1" t="s">
        <v>96</v>
      </c>
      <c r="E95" s="1" t="s">
        <v>117</v>
      </c>
      <c r="J95" s="1" t="s">
        <v>28</v>
      </c>
      <c r="M95" s="38"/>
    </row>
    <row r="96">
      <c r="A96" s="1"/>
      <c r="J96" s="14"/>
      <c r="M96" s="38"/>
    </row>
    <row r="97">
      <c r="A97" s="1"/>
      <c r="J97" s="14"/>
      <c r="M97" s="38"/>
    </row>
    <row r="98">
      <c r="A98" s="1" t="s">
        <v>236</v>
      </c>
      <c r="C98" s="1">
        <f>8892.96*0.3-(633.9)</f>
        <v>2033.988</v>
      </c>
      <c r="M98" s="38"/>
    </row>
    <row r="99">
      <c r="A99" s="1" t="s">
        <v>50</v>
      </c>
      <c r="C99" s="8">
        <f>SUM(C2:C97)</f>
        <v>7439.45</v>
      </c>
      <c r="D99" s="8">
        <f>8968.96-C99-C98</f>
        <v>-504.478</v>
      </c>
      <c r="M99" s="38"/>
    </row>
    <row r="100">
      <c r="M100" s="38"/>
    </row>
    <row r="101">
      <c r="M101" s="38"/>
    </row>
    <row r="102">
      <c r="M102" s="38"/>
    </row>
    <row r="103">
      <c r="M103" s="38"/>
    </row>
    <row r="104"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6" t="s">
        <v>240</v>
      </c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B145" s="8"/>
      <c r="M145" s="38"/>
    </row>
    <row r="146">
      <c r="M146" s="38"/>
    </row>
    <row r="147">
      <c r="M147" s="38"/>
    </row>
    <row r="148">
      <c r="B148" s="14">
        <f>8892-B146</f>
        <v>8892</v>
      </c>
      <c r="M148" s="38"/>
    </row>
    <row r="149">
      <c r="M149" s="38"/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</sheetData>
  <autoFilter ref="$A$1:$BV$17"/>
  <conditionalFormatting sqref="B148">
    <cfRule type="cellIs" dxfId="1" priority="1" operator="greaterThanOrEqual">
      <formula>0</formula>
    </cfRule>
  </conditionalFormatting>
  <conditionalFormatting sqref="B148">
    <cfRule type="cellIs" dxfId="2" priority="2" operator="lessThan">
      <formula>0</formula>
    </cfRule>
  </conditionalFormatting>
  <dataValidations>
    <dataValidation type="list" allowBlank="1" showErrorMessage="1" sqref="J2:J97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660.0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7.0</v>
      </c>
      <c r="C3" s="52">
        <f>992</f>
        <v>992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1" t="s">
        <v>106</v>
      </c>
      <c r="B5" s="1">
        <v>14.0</v>
      </c>
      <c r="C5" s="37">
        <v>407.0</v>
      </c>
      <c r="D5" s="1" t="s">
        <v>96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  <c r="M5" s="38"/>
    </row>
    <row r="6">
      <c r="A6" s="1" t="s">
        <v>111</v>
      </c>
      <c r="B6" s="1">
        <v>11.0</v>
      </c>
      <c r="C6" s="37">
        <v>99.0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/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14.99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>
        <v>45272.0</v>
      </c>
      <c r="L16" s="1" t="s">
        <v>101</v>
      </c>
      <c r="M16" s="38"/>
    </row>
    <row r="17">
      <c r="A17" s="1" t="s">
        <v>130</v>
      </c>
      <c r="B17" s="1">
        <v>27.0</v>
      </c>
      <c r="C17" s="37">
        <f>79.9+119.9</f>
        <v>199.8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536</v>
      </c>
      <c r="B18" s="1">
        <v>0.0</v>
      </c>
      <c r="C18" s="1">
        <v>0.0</v>
      </c>
      <c r="D18" s="1" t="s">
        <v>112</v>
      </c>
      <c r="E18" s="1" t="s">
        <v>132</v>
      </c>
      <c r="G18" s="1"/>
      <c r="J18" s="1" t="s">
        <v>21</v>
      </c>
      <c r="M18" s="38"/>
    </row>
    <row r="19">
      <c r="A19" s="1" t="s">
        <v>512</v>
      </c>
      <c r="B19" s="1">
        <v>0.0</v>
      </c>
      <c r="C19" s="1">
        <v>0.0</v>
      </c>
      <c r="D19" s="1" t="s">
        <v>112</v>
      </c>
      <c r="E19" s="1" t="s">
        <v>132</v>
      </c>
      <c r="G19" s="1"/>
      <c r="J19" s="1" t="s">
        <v>21</v>
      </c>
      <c r="M19" s="38"/>
    </row>
    <row r="20">
      <c r="A20" s="1" t="s">
        <v>611</v>
      </c>
      <c r="B20" s="1">
        <v>0.0</v>
      </c>
      <c r="C20" s="1">
        <f>15+50+18</f>
        <v>83</v>
      </c>
      <c r="D20" s="1" t="s">
        <v>112</v>
      </c>
      <c r="E20" s="1" t="s">
        <v>132</v>
      </c>
      <c r="G20" s="1"/>
      <c r="J20" s="1" t="s">
        <v>34</v>
      </c>
      <c r="M20" s="38"/>
    </row>
    <row r="21">
      <c r="A21" s="1" t="s">
        <v>612</v>
      </c>
      <c r="B21" s="1">
        <v>0.0</v>
      </c>
      <c r="C21" s="1">
        <v>0.0</v>
      </c>
      <c r="D21" s="1" t="s">
        <v>112</v>
      </c>
      <c r="E21" s="1" t="s">
        <v>105</v>
      </c>
      <c r="G21" s="1"/>
      <c r="J21" s="1" t="s">
        <v>18</v>
      </c>
      <c r="M21" s="38"/>
    </row>
    <row r="22">
      <c r="A22" s="1" t="s">
        <v>613</v>
      </c>
      <c r="B22" s="1">
        <v>8.0</v>
      </c>
      <c r="C22" s="1">
        <v>480.0</v>
      </c>
      <c r="D22" s="1" t="s">
        <v>96</v>
      </c>
      <c r="E22" s="1" t="s">
        <v>132</v>
      </c>
      <c r="G22" s="1"/>
      <c r="J22" s="1" t="s">
        <v>23</v>
      </c>
      <c r="K22" s="42"/>
      <c r="M22" s="38"/>
    </row>
    <row r="23">
      <c r="A23" s="1" t="s">
        <v>154</v>
      </c>
      <c r="B23" s="1">
        <v>1.0</v>
      </c>
      <c r="C23" s="1">
        <v>4.0</v>
      </c>
      <c r="D23" s="1" t="s">
        <v>96</v>
      </c>
      <c r="E23" s="1" t="s">
        <v>105</v>
      </c>
      <c r="J23" s="1" t="s">
        <v>39</v>
      </c>
      <c r="M23" s="38"/>
    </row>
    <row r="24">
      <c r="A24" s="1" t="s">
        <v>891</v>
      </c>
      <c r="B24" s="1">
        <v>1.0</v>
      </c>
      <c r="C24" s="1">
        <v>0.0</v>
      </c>
      <c r="D24" s="1" t="s">
        <v>96</v>
      </c>
      <c r="E24" s="1" t="s">
        <v>105</v>
      </c>
      <c r="G24" s="1"/>
      <c r="J24" s="1" t="s">
        <v>28</v>
      </c>
      <c r="M24" s="38"/>
    </row>
    <row r="25">
      <c r="A25" s="1" t="s">
        <v>892</v>
      </c>
      <c r="B25" s="1">
        <v>1.0</v>
      </c>
      <c r="C25" s="1">
        <v>50.0</v>
      </c>
      <c r="D25" s="1" t="s">
        <v>96</v>
      </c>
      <c r="E25" s="1" t="s">
        <v>105</v>
      </c>
      <c r="G25" s="1"/>
      <c r="J25" s="1" t="s">
        <v>34</v>
      </c>
      <c r="M25" s="38"/>
    </row>
    <row r="26">
      <c r="A26" s="1" t="s">
        <v>402</v>
      </c>
      <c r="B26" s="1">
        <v>1.0</v>
      </c>
      <c r="C26" s="1">
        <v>0.0</v>
      </c>
      <c r="D26" s="1" t="s">
        <v>96</v>
      </c>
      <c r="E26" s="1" t="s">
        <v>105</v>
      </c>
      <c r="G26" s="1"/>
      <c r="J26" s="1" t="s">
        <v>18</v>
      </c>
      <c r="M26" s="38"/>
    </row>
    <row r="27">
      <c r="A27" s="1" t="s">
        <v>154</v>
      </c>
      <c r="B27" s="1">
        <v>1.0</v>
      </c>
      <c r="C27" s="1">
        <v>4.0</v>
      </c>
      <c r="D27" s="1" t="s">
        <v>96</v>
      </c>
      <c r="E27" s="1" t="s">
        <v>105</v>
      </c>
      <c r="G27" s="1"/>
      <c r="J27" s="1" t="s">
        <v>39</v>
      </c>
      <c r="M27" s="38"/>
    </row>
    <row r="28">
      <c r="A28" s="1" t="s">
        <v>893</v>
      </c>
      <c r="B28" s="1">
        <v>1.0</v>
      </c>
      <c r="C28" s="1">
        <v>100.0</v>
      </c>
      <c r="D28" s="1" t="s">
        <v>96</v>
      </c>
      <c r="E28" s="1" t="s">
        <v>133</v>
      </c>
      <c r="G28" s="1"/>
      <c r="J28" s="1" t="s">
        <v>32</v>
      </c>
      <c r="M28" s="38"/>
    </row>
    <row r="29">
      <c r="A29" s="1" t="s">
        <v>772</v>
      </c>
      <c r="B29" s="1">
        <v>1.0</v>
      </c>
      <c r="C29" s="1">
        <v>15.9</v>
      </c>
      <c r="D29" s="1" t="s">
        <v>96</v>
      </c>
      <c r="E29" s="1" t="s">
        <v>133</v>
      </c>
      <c r="G29" s="1"/>
      <c r="J29" s="1" t="s">
        <v>34</v>
      </c>
      <c r="M29" s="38"/>
    </row>
    <row r="30">
      <c r="A30" s="1" t="s">
        <v>894</v>
      </c>
      <c r="B30" s="1">
        <v>1.0</v>
      </c>
      <c r="C30" s="1">
        <v>30.0</v>
      </c>
      <c r="D30" s="1" t="s">
        <v>96</v>
      </c>
      <c r="E30" s="1" t="s">
        <v>133</v>
      </c>
      <c r="G30" s="1"/>
      <c r="J30" s="1" t="s">
        <v>31</v>
      </c>
      <c r="M30" s="38"/>
    </row>
    <row r="31">
      <c r="A31" s="1" t="s">
        <v>895</v>
      </c>
      <c r="B31" s="1">
        <v>1.0</v>
      </c>
      <c r="C31" s="1">
        <v>92.14</v>
      </c>
      <c r="D31" s="1" t="s">
        <v>96</v>
      </c>
      <c r="E31" s="1" t="s">
        <v>133</v>
      </c>
      <c r="G31" s="1"/>
      <c r="J31" s="1" t="s">
        <v>28</v>
      </c>
      <c r="M31" s="38"/>
    </row>
    <row r="32">
      <c r="A32" s="1" t="s">
        <v>896</v>
      </c>
      <c r="B32" s="1">
        <v>1.0</v>
      </c>
      <c r="C32" s="1">
        <v>10.0</v>
      </c>
      <c r="D32" s="1" t="s">
        <v>96</v>
      </c>
      <c r="E32" s="1" t="s">
        <v>133</v>
      </c>
      <c r="G32" s="1"/>
      <c r="J32" s="1" t="s">
        <v>42</v>
      </c>
      <c r="M32" s="38"/>
    </row>
    <row r="33">
      <c r="A33" s="1" t="s">
        <v>895</v>
      </c>
      <c r="B33" s="1">
        <v>1.0</v>
      </c>
      <c r="C33" s="1">
        <v>97.9</v>
      </c>
      <c r="D33" s="1" t="s">
        <v>96</v>
      </c>
      <c r="E33" s="1" t="s">
        <v>133</v>
      </c>
      <c r="G33" s="1"/>
      <c r="J33" s="1" t="s">
        <v>28</v>
      </c>
      <c r="M33" s="38"/>
    </row>
    <row r="34">
      <c r="A34" s="1" t="s">
        <v>809</v>
      </c>
      <c r="B34" s="1">
        <v>1.0</v>
      </c>
      <c r="C34" s="1">
        <v>58.61</v>
      </c>
      <c r="D34" s="1" t="s">
        <v>96</v>
      </c>
      <c r="E34" s="1" t="s">
        <v>133</v>
      </c>
      <c r="G34" s="1"/>
      <c r="J34" s="1" t="s">
        <v>18</v>
      </c>
      <c r="M34" s="38"/>
    </row>
    <row r="35">
      <c r="A35" s="1" t="s">
        <v>617</v>
      </c>
      <c r="B35" s="1">
        <v>1.0</v>
      </c>
      <c r="C35" s="1">
        <v>172.86</v>
      </c>
      <c r="D35" s="1" t="s">
        <v>96</v>
      </c>
      <c r="E35" s="1" t="s">
        <v>133</v>
      </c>
      <c r="G35" s="1"/>
      <c r="J35" s="1" t="s">
        <v>29</v>
      </c>
      <c r="M35" s="38"/>
    </row>
    <row r="36">
      <c r="A36" s="1" t="s">
        <v>897</v>
      </c>
      <c r="B36" s="1">
        <v>1.0</v>
      </c>
      <c r="C36" s="1">
        <v>4.0</v>
      </c>
      <c r="D36" s="1" t="s">
        <v>96</v>
      </c>
      <c r="E36" s="1" t="s">
        <v>133</v>
      </c>
      <c r="G36" s="1"/>
      <c r="J36" s="1" t="s">
        <v>20</v>
      </c>
      <c r="M36" s="38"/>
    </row>
    <row r="37">
      <c r="A37" s="1" t="s">
        <v>144</v>
      </c>
      <c r="B37" s="1">
        <v>2.0</v>
      </c>
      <c r="C37" s="1">
        <v>330.0</v>
      </c>
      <c r="D37" s="1" t="s">
        <v>96</v>
      </c>
      <c r="E37" s="1" t="s">
        <v>133</v>
      </c>
      <c r="G37" s="1"/>
      <c r="J37" s="1" t="s">
        <v>28</v>
      </c>
      <c r="M37" s="36" t="s">
        <v>43</v>
      </c>
    </row>
    <row r="38">
      <c r="A38" s="1" t="s">
        <v>154</v>
      </c>
      <c r="B38" s="1">
        <v>2.0</v>
      </c>
      <c r="C38" s="1">
        <v>4.0</v>
      </c>
      <c r="D38" s="1" t="s">
        <v>96</v>
      </c>
      <c r="E38" s="1" t="s">
        <v>133</v>
      </c>
      <c r="G38" s="1"/>
      <c r="J38" s="1" t="s">
        <v>39</v>
      </c>
      <c r="M38" s="38"/>
    </row>
    <row r="39">
      <c r="A39" s="1" t="s">
        <v>898</v>
      </c>
      <c r="B39" s="1">
        <v>3.0</v>
      </c>
      <c r="C39" s="1">
        <v>23.0</v>
      </c>
      <c r="D39" s="1" t="s">
        <v>96</v>
      </c>
      <c r="E39" s="1" t="s">
        <v>133</v>
      </c>
      <c r="G39" s="1"/>
      <c r="J39" s="1" t="s">
        <v>41</v>
      </c>
      <c r="M39" s="38"/>
    </row>
    <row r="40">
      <c r="A40" s="1" t="s">
        <v>809</v>
      </c>
      <c r="B40" s="1">
        <v>3.0</v>
      </c>
      <c r="C40" s="1">
        <v>47.84</v>
      </c>
      <c r="D40" s="1" t="s">
        <v>96</v>
      </c>
      <c r="E40" s="1" t="s">
        <v>133</v>
      </c>
      <c r="G40" s="1"/>
      <c r="J40" s="1" t="s">
        <v>41</v>
      </c>
      <c r="M40" s="38"/>
    </row>
    <row r="41">
      <c r="A41" s="1" t="s">
        <v>29</v>
      </c>
      <c r="B41" s="1">
        <v>4.0</v>
      </c>
      <c r="C41" s="1">
        <v>14.64</v>
      </c>
      <c r="D41" s="1" t="s">
        <v>96</v>
      </c>
      <c r="E41" s="1" t="s">
        <v>133</v>
      </c>
      <c r="G41" s="1"/>
      <c r="J41" s="1" t="s">
        <v>29</v>
      </c>
      <c r="M41" s="38"/>
    </row>
    <row r="42">
      <c r="A42" s="1" t="s">
        <v>154</v>
      </c>
      <c r="B42" s="1">
        <v>4.0</v>
      </c>
      <c r="C42" s="1">
        <v>4.0</v>
      </c>
      <c r="D42" s="1" t="s">
        <v>96</v>
      </c>
      <c r="E42" s="1" t="s">
        <v>133</v>
      </c>
      <c r="G42" s="1"/>
      <c r="J42" s="1" t="s">
        <v>39</v>
      </c>
      <c r="M42" s="38"/>
    </row>
    <row r="43">
      <c r="A43" s="1" t="s">
        <v>899</v>
      </c>
      <c r="B43" s="1">
        <v>5.0</v>
      </c>
      <c r="C43" s="1">
        <v>290.0</v>
      </c>
      <c r="D43" s="1" t="s">
        <v>96</v>
      </c>
      <c r="E43" s="1" t="s">
        <v>133</v>
      </c>
      <c r="G43" s="1"/>
      <c r="J43" s="1" t="s">
        <v>42</v>
      </c>
      <c r="M43" s="38"/>
    </row>
    <row r="44">
      <c r="A44" s="1" t="s">
        <v>812</v>
      </c>
      <c r="B44" s="1">
        <v>5.0</v>
      </c>
      <c r="C44" s="1">
        <v>50.0</v>
      </c>
      <c r="D44" s="1" t="s">
        <v>96</v>
      </c>
      <c r="E44" s="1" t="s">
        <v>133</v>
      </c>
      <c r="G44" s="1"/>
      <c r="J44" s="1" t="s">
        <v>18</v>
      </c>
      <c r="M44" s="38"/>
    </row>
    <row r="45">
      <c r="A45" s="1" t="s">
        <v>154</v>
      </c>
      <c r="B45" s="1">
        <v>6.0</v>
      </c>
      <c r="C45" s="1">
        <v>4.0</v>
      </c>
      <c r="D45" s="1" t="s">
        <v>96</v>
      </c>
      <c r="E45" s="1" t="s">
        <v>133</v>
      </c>
      <c r="G45" s="1"/>
      <c r="J45" s="1" t="s">
        <v>39</v>
      </c>
      <c r="M45" s="38"/>
    </row>
    <row r="46">
      <c r="A46" s="1" t="s">
        <v>249</v>
      </c>
      <c r="B46" s="1">
        <v>6.0</v>
      </c>
      <c r="C46" s="1">
        <v>17.36</v>
      </c>
      <c r="D46" s="1" t="s">
        <v>96</v>
      </c>
      <c r="E46" s="1" t="s">
        <v>133</v>
      </c>
      <c r="G46" s="1"/>
      <c r="J46" s="1" t="s">
        <v>25</v>
      </c>
      <c r="M46" s="38"/>
    </row>
    <row r="47">
      <c r="A47" s="1" t="s">
        <v>271</v>
      </c>
      <c r="B47" s="1">
        <v>6.0</v>
      </c>
      <c r="C47" s="1">
        <v>98.5</v>
      </c>
      <c r="D47" s="1" t="s">
        <v>96</v>
      </c>
      <c r="E47" s="1" t="s">
        <v>133</v>
      </c>
      <c r="G47" s="1"/>
      <c r="J47" s="1" t="s">
        <v>29</v>
      </c>
      <c r="M47" s="38"/>
    </row>
    <row r="48">
      <c r="A48" s="1" t="s">
        <v>886</v>
      </c>
      <c r="B48" s="1">
        <v>7.0</v>
      </c>
      <c r="C48" s="1">
        <v>15.75</v>
      </c>
      <c r="D48" s="1" t="s">
        <v>96</v>
      </c>
      <c r="E48" s="1" t="s">
        <v>133</v>
      </c>
      <c r="G48" s="1"/>
      <c r="J48" s="1" t="s">
        <v>34</v>
      </c>
      <c r="M48" s="38"/>
    </row>
    <row r="49">
      <c r="A49" s="1" t="s">
        <v>264</v>
      </c>
      <c r="B49" s="1">
        <v>7.0</v>
      </c>
      <c r="C49" s="1">
        <v>17.0</v>
      </c>
      <c r="D49" s="1" t="s">
        <v>96</v>
      </c>
      <c r="E49" s="1" t="s">
        <v>133</v>
      </c>
      <c r="G49" s="1"/>
      <c r="J49" s="1" t="s">
        <v>20</v>
      </c>
      <c r="M49" s="38"/>
    </row>
    <row r="50">
      <c r="A50" s="1" t="s">
        <v>617</v>
      </c>
      <c r="B50" s="1">
        <v>7.0</v>
      </c>
      <c r="C50" s="1">
        <v>78.83</v>
      </c>
      <c r="D50" s="1" t="s">
        <v>96</v>
      </c>
      <c r="E50" s="1" t="s">
        <v>133</v>
      </c>
      <c r="G50" s="1"/>
      <c r="J50" s="1" t="s">
        <v>29</v>
      </c>
      <c r="M50" s="38"/>
    </row>
    <row r="51">
      <c r="A51" s="1" t="s">
        <v>900</v>
      </c>
      <c r="B51" s="1">
        <v>7.0</v>
      </c>
      <c r="C51" s="1">
        <v>75.0</v>
      </c>
      <c r="D51" s="1" t="s">
        <v>96</v>
      </c>
      <c r="E51" s="1" t="s">
        <v>133</v>
      </c>
      <c r="G51" s="1"/>
      <c r="J51" s="1" t="s">
        <v>34</v>
      </c>
      <c r="M51" s="38"/>
    </row>
    <row r="52">
      <c r="A52" s="1" t="s">
        <v>901</v>
      </c>
      <c r="B52" s="1">
        <v>7.0</v>
      </c>
      <c r="C52" s="1">
        <v>62.8</v>
      </c>
      <c r="D52" s="1" t="s">
        <v>96</v>
      </c>
      <c r="E52" s="1" t="s">
        <v>133</v>
      </c>
      <c r="G52" s="1"/>
      <c r="J52" s="1" t="s">
        <v>28</v>
      </c>
      <c r="M52" s="38"/>
    </row>
    <row r="53">
      <c r="A53" s="1" t="s">
        <v>809</v>
      </c>
      <c r="B53" s="1">
        <v>7.0</v>
      </c>
      <c r="C53" s="1">
        <v>44.44</v>
      </c>
      <c r="D53" s="1" t="s">
        <v>96</v>
      </c>
      <c r="E53" s="1" t="s">
        <v>133</v>
      </c>
      <c r="G53" s="1"/>
      <c r="J53" s="1" t="s">
        <v>18</v>
      </c>
      <c r="M53" s="38"/>
    </row>
    <row r="54">
      <c r="A54" s="1" t="s">
        <v>809</v>
      </c>
      <c r="B54" s="1">
        <v>7.0</v>
      </c>
      <c r="C54" s="1">
        <v>20.0</v>
      </c>
      <c r="D54" s="1" t="s">
        <v>96</v>
      </c>
      <c r="E54" s="1" t="s">
        <v>133</v>
      </c>
      <c r="G54" s="1"/>
      <c r="J54" s="1" t="s">
        <v>18</v>
      </c>
      <c r="M54" s="38"/>
    </row>
    <row r="55">
      <c r="A55" s="1" t="s">
        <v>902</v>
      </c>
      <c r="B55" s="1">
        <v>9.0</v>
      </c>
      <c r="C55" s="1">
        <v>50.0</v>
      </c>
      <c r="D55" s="1" t="s">
        <v>96</v>
      </c>
      <c r="E55" s="1" t="s">
        <v>132</v>
      </c>
      <c r="G55" s="1"/>
      <c r="J55" s="1" t="s">
        <v>15</v>
      </c>
      <c r="M55" s="38"/>
    </row>
    <row r="56">
      <c r="A56" s="1" t="s">
        <v>154</v>
      </c>
      <c r="B56" s="1">
        <v>9.0</v>
      </c>
      <c r="C56" s="1">
        <v>9.6</v>
      </c>
      <c r="D56" s="1" t="s">
        <v>96</v>
      </c>
      <c r="E56" s="1" t="s">
        <v>133</v>
      </c>
      <c r="G56" s="1"/>
      <c r="J56" s="1" t="s">
        <v>33</v>
      </c>
      <c r="M56" s="38"/>
    </row>
    <row r="57">
      <c r="A57" s="1" t="s">
        <v>903</v>
      </c>
      <c r="B57" s="1">
        <v>10.0</v>
      </c>
      <c r="C57" s="1">
        <v>20.25</v>
      </c>
      <c r="D57" s="1" t="s">
        <v>96</v>
      </c>
      <c r="E57" s="1" t="s">
        <v>133</v>
      </c>
      <c r="G57" s="1"/>
      <c r="J57" s="1" t="s">
        <v>33</v>
      </c>
      <c r="M57" s="38"/>
    </row>
    <row r="58">
      <c r="A58" s="1" t="s">
        <v>154</v>
      </c>
      <c r="B58" s="1">
        <v>11.0</v>
      </c>
      <c r="C58" s="1">
        <v>6.0</v>
      </c>
      <c r="D58" s="1" t="s">
        <v>96</v>
      </c>
      <c r="E58" s="1" t="s">
        <v>133</v>
      </c>
      <c r="G58" s="1"/>
      <c r="J58" s="1" t="s">
        <v>28</v>
      </c>
      <c r="M58" s="38"/>
    </row>
    <row r="59">
      <c r="A59" s="1" t="s">
        <v>809</v>
      </c>
      <c r="B59" s="1">
        <v>11.0</v>
      </c>
      <c r="C59" s="1">
        <v>50.16</v>
      </c>
      <c r="D59" s="1" t="s">
        <v>96</v>
      </c>
      <c r="E59" s="1" t="s">
        <v>133</v>
      </c>
      <c r="G59" s="1"/>
      <c r="J59" s="1" t="s">
        <v>29</v>
      </c>
      <c r="M59" s="38"/>
    </row>
    <row r="60">
      <c r="A60" s="1" t="s">
        <v>827</v>
      </c>
      <c r="B60" s="1">
        <v>12.0</v>
      </c>
      <c r="C60" s="1">
        <v>28.0</v>
      </c>
      <c r="D60" s="1" t="s">
        <v>96</v>
      </c>
      <c r="E60" s="1" t="s">
        <v>133</v>
      </c>
      <c r="G60" s="1"/>
      <c r="J60" s="1" t="s">
        <v>34</v>
      </c>
      <c r="M60" s="38"/>
    </row>
    <row r="61">
      <c r="A61" s="1" t="s">
        <v>904</v>
      </c>
      <c r="B61" s="1">
        <v>12.0</v>
      </c>
      <c r="C61" s="1">
        <v>174.99</v>
      </c>
      <c r="D61" s="1" t="s">
        <v>96</v>
      </c>
      <c r="E61" s="1" t="s">
        <v>133</v>
      </c>
      <c r="G61" s="1"/>
      <c r="J61" s="1" t="s">
        <v>15</v>
      </c>
      <c r="M61" s="38"/>
    </row>
    <row r="62">
      <c r="A62" s="1" t="s">
        <v>905</v>
      </c>
      <c r="B62" s="1">
        <v>13.0</v>
      </c>
      <c r="C62" s="1">
        <v>60.0</v>
      </c>
      <c r="D62" s="1" t="s">
        <v>96</v>
      </c>
      <c r="E62" s="1" t="s">
        <v>133</v>
      </c>
      <c r="G62" s="1"/>
      <c r="J62" s="1" t="s">
        <v>42</v>
      </c>
      <c r="M62" s="38"/>
    </row>
    <row r="63">
      <c r="A63" s="1" t="s">
        <v>906</v>
      </c>
      <c r="B63" s="1">
        <v>13.0</v>
      </c>
      <c r="C63" s="1">
        <v>250.0</v>
      </c>
      <c r="D63" s="1" t="s">
        <v>96</v>
      </c>
      <c r="E63" s="1" t="s">
        <v>156</v>
      </c>
      <c r="G63" s="1"/>
      <c r="J63" s="1" t="s">
        <v>42</v>
      </c>
      <c r="M63" s="36" t="s">
        <v>476</v>
      </c>
    </row>
    <row r="64">
      <c r="A64" s="1" t="s">
        <v>907</v>
      </c>
      <c r="B64" s="1">
        <v>14.0</v>
      </c>
      <c r="C64" s="1">
        <v>147.77</v>
      </c>
      <c r="D64" s="1" t="s">
        <v>96</v>
      </c>
      <c r="E64" s="1" t="s">
        <v>133</v>
      </c>
      <c r="G64" s="1"/>
      <c r="J64" s="1" t="s">
        <v>34</v>
      </c>
      <c r="M64" s="36" t="s">
        <v>476</v>
      </c>
    </row>
    <row r="65">
      <c r="A65" s="1" t="s">
        <v>908</v>
      </c>
      <c r="B65" s="1">
        <v>14.0</v>
      </c>
      <c r="C65" s="1">
        <v>6.48</v>
      </c>
      <c r="D65" s="1" t="s">
        <v>96</v>
      </c>
      <c r="E65" s="1" t="s">
        <v>133</v>
      </c>
      <c r="G65" s="1"/>
      <c r="J65" s="1" t="s">
        <v>25</v>
      </c>
      <c r="M65" s="36" t="s">
        <v>476</v>
      </c>
    </row>
    <row r="66">
      <c r="A66" s="1" t="s">
        <v>515</v>
      </c>
      <c r="B66" s="1">
        <v>14.0</v>
      </c>
      <c r="C66" s="1">
        <v>56.9</v>
      </c>
      <c r="D66" s="1" t="s">
        <v>96</v>
      </c>
      <c r="E66" s="1" t="s">
        <v>133</v>
      </c>
      <c r="J66" s="1" t="s">
        <v>32</v>
      </c>
      <c r="M66" s="36" t="s">
        <v>476</v>
      </c>
    </row>
    <row r="67">
      <c r="A67" s="1" t="s">
        <v>909</v>
      </c>
      <c r="B67" s="1">
        <v>14.0</v>
      </c>
      <c r="C67" s="1">
        <v>119.99</v>
      </c>
      <c r="D67" s="1" t="s">
        <v>96</v>
      </c>
      <c r="E67" s="1" t="s">
        <v>133</v>
      </c>
      <c r="J67" s="1" t="s">
        <v>31</v>
      </c>
      <c r="M67" s="36" t="s">
        <v>476</v>
      </c>
    </row>
    <row r="68">
      <c r="A68" s="1" t="s">
        <v>910</v>
      </c>
      <c r="B68" s="1">
        <v>15.0</v>
      </c>
      <c r="C68" s="1">
        <v>8.0</v>
      </c>
      <c r="D68" s="1" t="s">
        <v>96</v>
      </c>
      <c r="E68" s="1" t="s">
        <v>133</v>
      </c>
      <c r="J68" s="1" t="s">
        <v>34</v>
      </c>
      <c r="M68" s="36" t="s">
        <v>476</v>
      </c>
    </row>
    <row r="69">
      <c r="A69" s="1" t="s">
        <v>264</v>
      </c>
      <c r="B69" s="1">
        <v>14.0</v>
      </c>
      <c r="C69" s="1">
        <v>15.0</v>
      </c>
      <c r="D69" s="1" t="s">
        <v>96</v>
      </c>
      <c r="E69" s="1" t="s">
        <v>156</v>
      </c>
      <c r="J69" s="1" t="s">
        <v>20</v>
      </c>
      <c r="M69" s="36" t="s">
        <v>476</v>
      </c>
    </row>
    <row r="70">
      <c r="A70" s="1" t="s">
        <v>911</v>
      </c>
      <c r="B70" s="1">
        <v>15.0</v>
      </c>
      <c r="C70" s="1">
        <v>20.0</v>
      </c>
      <c r="D70" s="1" t="s">
        <v>96</v>
      </c>
      <c r="E70" s="1" t="s">
        <v>156</v>
      </c>
      <c r="J70" s="1" t="s">
        <v>29</v>
      </c>
      <c r="M70" s="36" t="s">
        <v>476</v>
      </c>
    </row>
    <row r="71">
      <c r="A71" s="1" t="s">
        <v>912</v>
      </c>
      <c r="B71" s="1">
        <v>5.0</v>
      </c>
      <c r="C71" s="1">
        <v>1326.51</v>
      </c>
      <c r="D71" s="1" t="s">
        <v>96</v>
      </c>
      <c r="E71" s="1" t="s">
        <v>49</v>
      </c>
      <c r="H71" s="1" t="s">
        <v>129</v>
      </c>
      <c r="I71" s="1" t="s">
        <v>129</v>
      </c>
      <c r="J71" s="1" t="s">
        <v>16</v>
      </c>
      <c r="K71" s="42">
        <v>44958.0</v>
      </c>
      <c r="M71" s="36" t="s">
        <v>476</v>
      </c>
    </row>
    <row r="72">
      <c r="A72" s="1" t="s">
        <v>765</v>
      </c>
      <c r="B72" s="1">
        <v>16.0</v>
      </c>
      <c r="C72" s="1">
        <v>6.7</v>
      </c>
      <c r="D72" s="1" t="s">
        <v>96</v>
      </c>
      <c r="E72" s="1" t="s">
        <v>133</v>
      </c>
      <c r="J72" s="1" t="s">
        <v>24</v>
      </c>
      <c r="M72" s="36" t="s">
        <v>476</v>
      </c>
    </row>
    <row r="73">
      <c r="A73" s="1" t="s">
        <v>154</v>
      </c>
      <c r="B73" s="1">
        <v>18.0</v>
      </c>
      <c r="C73" s="1">
        <v>4.0</v>
      </c>
      <c r="D73" s="1" t="s">
        <v>96</v>
      </c>
      <c r="E73" s="1" t="s">
        <v>133</v>
      </c>
      <c r="J73" s="1" t="s">
        <v>39</v>
      </c>
      <c r="M73" s="36" t="s">
        <v>476</v>
      </c>
    </row>
    <row r="74">
      <c r="A74" s="1" t="s">
        <v>809</v>
      </c>
      <c r="B74" s="1">
        <v>18.0</v>
      </c>
      <c r="C74" s="1">
        <v>40.0</v>
      </c>
      <c r="D74" s="1" t="s">
        <v>96</v>
      </c>
      <c r="E74" s="1" t="s">
        <v>133</v>
      </c>
      <c r="J74" s="1" t="s">
        <v>18</v>
      </c>
      <c r="M74" s="36" t="s">
        <v>476</v>
      </c>
    </row>
    <row r="75">
      <c r="A75" s="1" t="s">
        <v>29</v>
      </c>
      <c r="B75" s="1">
        <v>18.0</v>
      </c>
      <c r="C75" s="1">
        <v>7.99</v>
      </c>
      <c r="D75" s="1" t="s">
        <v>96</v>
      </c>
      <c r="E75" s="1" t="s">
        <v>133</v>
      </c>
      <c r="J75" s="1" t="s">
        <v>29</v>
      </c>
      <c r="M75" s="36" t="s">
        <v>476</v>
      </c>
    </row>
    <row r="76">
      <c r="A76" s="1" t="s">
        <v>812</v>
      </c>
      <c r="B76" s="1">
        <v>18.0</v>
      </c>
      <c r="C76" s="1">
        <v>40.0</v>
      </c>
      <c r="D76" s="1" t="s">
        <v>96</v>
      </c>
      <c r="E76" s="1" t="s">
        <v>133</v>
      </c>
      <c r="J76" s="1" t="s">
        <v>18</v>
      </c>
      <c r="M76" s="36" t="s">
        <v>476</v>
      </c>
    </row>
    <row r="77">
      <c r="A77" s="1" t="s">
        <v>261</v>
      </c>
      <c r="B77" s="1">
        <v>19.0</v>
      </c>
      <c r="C77" s="1">
        <v>286.24</v>
      </c>
      <c r="D77" s="1" t="s">
        <v>96</v>
      </c>
      <c r="E77" s="1" t="s">
        <v>133</v>
      </c>
      <c r="J77" s="1" t="s">
        <v>29</v>
      </c>
      <c r="M77" s="36" t="s">
        <v>476</v>
      </c>
    </row>
    <row r="78">
      <c r="A78" s="1" t="s">
        <v>300</v>
      </c>
      <c r="B78" s="1">
        <v>21.0</v>
      </c>
      <c r="C78" s="1">
        <v>37.92</v>
      </c>
      <c r="D78" s="1" t="s">
        <v>96</v>
      </c>
      <c r="E78" s="1" t="s">
        <v>133</v>
      </c>
      <c r="J78" s="1" t="s">
        <v>29</v>
      </c>
      <c r="M78" s="36" t="s">
        <v>476</v>
      </c>
    </row>
    <row r="79">
      <c r="A79" s="1" t="s">
        <v>154</v>
      </c>
      <c r="B79" s="1">
        <v>21.0</v>
      </c>
      <c r="C79" s="1">
        <v>5.0</v>
      </c>
      <c r="D79" s="1" t="s">
        <v>96</v>
      </c>
      <c r="E79" s="1" t="s">
        <v>133</v>
      </c>
      <c r="J79" s="1" t="s">
        <v>39</v>
      </c>
      <c r="M79" s="36" t="s">
        <v>476</v>
      </c>
    </row>
    <row r="80">
      <c r="A80" s="1" t="s">
        <v>283</v>
      </c>
      <c r="B80" s="1">
        <v>21.0</v>
      </c>
      <c r="C80" s="1">
        <v>82.7</v>
      </c>
      <c r="D80" s="1" t="s">
        <v>96</v>
      </c>
      <c r="E80" s="1" t="s">
        <v>133</v>
      </c>
      <c r="J80" s="1" t="s">
        <v>25</v>
      </c>
      <c r="M80" s="38"/>
    </row>
    <row r="81">
      <c r="A81" s="1" t="s">
        <v>165</v>
      </c>
      <c r="B81" s="1">
        <v>21.0</v>
      </c>
      <c r="C81" s="1">
        <v>261.66</v>
      </c>
      <c r="D81" s="1" t="s">
        <v>96</v>
      </c>
      <c r="E81" s="1" t="s">
        <v>133</v>
      </c>
      <c r="J81" s="1" t="s">
        <v>29</v>
      </c>
      <c r="M81" s="38"/>
    </row>
    <row r="82">
      <c r="A82" s="1" t="s">
        <v>765</v>
      </c>
      <c r="B82" s="1">
        <v>22.0</v>
      </c>
      <c r="C82" s="1">
        <v>9.75</v>
      </c>
      <c r="D82" s="1" t="s">
        <v>96</v>
      </c>
      <c r="E82" s="1" t="s">
        <v>133</v>
      </c>
      <c r="J82" s="1" t="s">
        <v>24</v>
      </c>
      <c r="M82" s="38"/>
    </row>
    <row r="83">
      <c r="A83" s="1" t="s">
        <v>154</v>
      </c>
      <c r="B83" s="1">
        <v>23.0</v>
      </c>
      <c r="C83" s="1">
        <v>5.0</v>
      </c>
      <c r="D83" s="1" t="s">
        <v>96</v>
      </c>
      <c r="E83" s="1" t="s">
        <v>133</v>
      </c>
      <c r="J83" s="1" t="s">
        <v>39</v>
      </c>
      <c r="M83" s="38"/>
    </row>
    <row r="84">
      <c r="A84" s="1" t="s">
        <v>269</v>
      </c>
      <c r="B84" s="1">
        <v>24.0</v>
      </c>
      <c r="C84" s="1">
        <v>90.9</v>
      </c>
      <c r="D84" s="1" t="s">
        <v>96</v>
      </c>
      <c r="E84" s="1" t="s">
        <v>133</v>
      </c>
      <c r="J84" s="1" t="s">
        <v>28</v>
      </c>
      <c r="M84" s="38"/>
    </row>
    <row r="85">
      <c r="A85" s="1" t="s">
        <v>809</v>
      </c>
      <c r="B85" s="1">
        <v>24.0</v>
      </c>
      <c r="C85" s="1">
        <v>50.0</v>
      </c>
      <c r="D85" s="1" t="s">
        <v>96</v>
      </c>
      <c r="E85" s="1" t="s">
        <v>133</v>
      </c>
      <c r="J85" s="1" t="s">
        <v>28</v>
      </c>
      <c r="M85" s="38"/>
    </row>
    <row r="86">
      <c r="A86" s="1" t="s">
        <v>271</v>
      </c>
      <c r="B86" s="1">
        <v>24.0</v>
      </c>
      <c r="C86" s="1">
        <v>48.05</v>
      </c>
      <c r="D86" s="1" t="s">
        <v>96</v>
      </c>
      <c r="E86" s="1" t="s">
        <v>133</v>
      </c>
      <c r="J86" s="1" t="s">
        <v>29</v>
      </c>
      <c r="M86" s="38"/>
    </row>
    <row r="87">
      <c r="A87" s="1" t="s">
        <v>233</v>
      </c>
      <c r="B87" s="1">
        <v>25.0</v>
      </c>
      <c r="C87" s="1">
        <v>459.57</v>
      </c>
      <c r="D87" s="1" t="s">
        <v>96</v>
      </c>
      <c r="E87" s="1" t="s">
        <v>133</v>
      </c>
      <c r="J87" s="1" t="s">
        <v>28</v>
      </c>
      <c r="M87" s="38"/>
    </row>
    <row r="88">
      <c r="A88" s="1" t="s">
        <v>886</v>
      </c>
      <c r="B88" s="1">
        <v>25.0</v>
      </c>
      <c r="C88" s="1">
        <v>14.0</v>
      </c>
      <c r="D88" s="1" t="s">
        <v>96</v>
      </c>
      <c r="E88" s="1" t="s">
        <v>133</v>
      </c>
      <c r="J88" s="1" t="s">
        <v>29</v>
      </c>
      <c r="M88" s="38"/>
    </row>
    <row r="89">
      <c r="A89" s="1" t="s">
        <v>868</v>
      </c>
      <c r="B89" s="1">
        <v>25.0</v>
      </c>
      <c r="C89" s="1">
        <v>16.0</v>
      </c>
      <c r="D89" s="1" t="s">
        <v>96</v>
      </c>
      <c r="E89" s="1" t="s">
        <v>133</v>
      </c>
      <c r="J89" s="1" t="s">
        <v>28</v>
      </c>
      <c r="M89" s="38"/>
    </row>
    <row r="90">
      <c r="A90" s="1" t="s">
        <v>617</v>
      </c>
      <c r="B90" s="1">
        <v>25.0</v>
      </c>
      <c r="C90" s="1">
        <v>59.75</v>
      </c>
      <c r="D90" s="1" t="s">
        <v>96</v>
      </c>
      <c r="E90" s="1" t="s">
        <v>133</v>
      </c>
      <c r="J90" s="1" t="s">
        <v>29</v>
      </c>
      <c r="M90" s="38"/>
    </row>
    <row r="91">
      <c r="A91" s="1" t="s">
        <v>271</v>
      </c>
      <c r="B91" s="1">
        <v>25.0</v>
      </c>
      <c r="C91" s="1">
        <v>25.8</v>
      </c>
      <c r="D91" s="1" t="s">
        <v>96</v>
      </c>
      <c r="E91" s="1" t="s">
        <v>133</v>
      </c>
      <c r="J91" s="1" t="s">
        <v>29</v>
      </c>
      <c r="M91" s="38"/>
    </row>
    <row r="92">
      <c r="A92" s="1" t="s">
        <v>887</v>
      </c>
      <c r="B92" s="1">
        <v>25.0</v>
      </c>
      <c r="C92" s="1">
        <v>230.0</v>
      </c>
      <c r="D92" s="1" t="s">
        <v>96</v>
      </c>
      <c r="E92" s="1" t="s">
        <v>133</v>
      </c>
      <c r="J92" s="1" t="s">
        <v>28</v>
      </c>
      <c r="M92" s="38"/>
    </row>
    <row r="93">
      <c r="A93" s="1" t="s">
        <v>888</v>
      </c>
      <c r="B93" s="1">
        <v>26.0</v>
      </c>
      <c r="C93" s="1">
        <v>222.51</v>
      </c>
      <c r="E93" s="1" t="s">
        <v>117</v>
      </c>
      <c r="J93" s="1" t="s">
        <v>33</v>
      </c>
      <c r="M93" s="38"/>
    </row>
    <row r="94">
      <c r="A94" s="1" t="s">
        <v>889</v>
      </c>
      <c r="B94" s="1">
        <v>25.0</v>
      </c>
      <c r="C94" s="1">
        <v>107.91</v>
      </c>
      <c r="E94" s="1" t="s">
        <v>117</v>
      </c>
      <c r="J94" s="1" t="s">
        <v>29</v>
      </c>
      <c r="M94" s="38"/>
    </row>
    <row r="95">
      <c r="A95" s="1" t="s">
        <v>890</v>
      </c>
      <c r="B95" s="1">
        <v>25.0</v>
      </c>
      <c r="C95" s="1">
        <v>468.18</v>
      </c>
      <c r="E95" s="1" t="s">
        <v>117</v>
      </c>
      <c r="J95" s="1" t="s">
        <v>28</v>
      </c>
      <c r="M95" s="38"/>
    </row>
    <row r="96">
      <c r="A96" s="1"/>
      <c r="J96" s="14"/>
      <c r="M96" s="38"/>
    </row>
    <row r="97">
      <c r="A97" s="1"/>
      <c r="J97" s="14"/>
      <c r="M97" s="38"/>
    </row>
    <row r="98">
      <c r="A98" s="1" t="s">
        <v>236</v>
      </c>
      <c r="C98" s="1">
        <v>0.0</v>
      </c>
      <c r="M98" s="38"/>
    </row>
    <row r="99">
      <c r="A99" s="1" t="s">
        <v>50</v>
      </c>
      <c r="C99" s="8">
        <f>SUM(C2:C97)</f>
        <v>10185.19</v>
      </c>
      <c r="D99" s="8">
        <f>8968.96-C99-C98</f>
        <v>-1216.23</v>
      </c>
      <c r="M99" s="38"/>
    </row>
    <row r="100">
      <c r="M100" s="38"/>
    </row>
    <row r="101">
      <c r="M101" s="38"/>
    </row>
    <row r="102">
      <c r="M102" s="38"/>
    </row>
    <row r="103">
      <c r="M103" s="38"/>
    </row>
    <row r="104"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6" t="s">
        <v>240</v>
      </c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B148" s="14">
        <f>8892-B146</f>
        <v>8892</v>
      </c>
      <c r="M148" s="38"/>
    </row>
    <row r="149">
      <c r="M149" s="38"/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</sheetData>
  <autoFilter ref="$A$1:$BV$17"/>
  <conditionalFormatting sqref="B148">
    <cfRule type="cellIs" dxfId="1" priority="1" operator="greaterThanOrEqual">
      <formula>0</formula>
    </cfRule>
  </conditionalFormatting>
  <conditionalFormatting sqref="B148">
    <cfRule type="cellIs" dxfId="2" priority="2" operator="lessThan">
      <formula>0</formula>
    </cfRule>
  </conditionalFormatting>
  <dataValidations>
    <dataValidation type="list" allowBlank="1" showErrorMessage="1" sqref="J2:J97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  <col customWidth="1" min="10" max="10" width="17.63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660.0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7.0</v>
      </c>
      <c r="C3" s="39">
        <v>608.0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1" t="s">
        <v>106</v>
      </c>
      <c r="B5" s="1">
        <v>14.0</v>
      </c>
      <c r="C5" s="37">
        <v>511.0</v>
      </c>
      <c r="D5" s="1" t="s">
        <v>112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  <c r="M5" s="38"/>
    </row>
    <row r="6">
      <c r="A6" s="1" t="s">
        <v>111</v>
      </c>
      <c r="B6" s="1">
        <v>11.0</v>
      </c>
      <c r="C6" s="37">
        <v>99.0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/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14.99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126</v>
      </c>
      <c r="B14" s="1">
        <v>27.0</v>
      </c>
      <c r="C14" s="37">
        <v>218.5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127</v>
      </c>
      <c r="I14" s="1" t="s">
        <v>100</v>
      </c>
      <c r="J14" s="1" t="s">
        <v>26</v>
      </c>
      <c r="L14" s="1" t="s">
        <v>101</v>
      </c>
      <c r="M14" s="38"/>
    </row>
    <row r="15">
      <c r="A15" s="1" t="s">
        <v>130</v>
      </c>
      <c r="B15" s="1">
        <v>27.0</v>
      </c>
      <c r="C15" s="37">
        <f>79.9+119.9</f>
        <v>199.8</v>
      </c>
      <c r="D15" s="1" t="s">
        <v>112</v>
      </c>
      <c r="E15" s="1" t="s">
        <v>117</v>
      </c>
      <c r="F15" s="1" t="s">
        <v>115</v>
      </c>
      <c r="G15" s="1" t="s">
        <v>118</v>
      </c>
      <c r="H15" s="1" t="s">
        <v>99</v>
      </c>
      <c r="I15" s="1" t="s">
        <v>100</v>
      </c>
      <c r="J15" s="1" t="s">
        <v>23</v>
      </c>
      <c r="L15" s="1" t="s">
        <v>101</v>
      </c>
      <c r="M15" s="38"/>
    </row>
    <row r="16">
      <c r="A16" s="1" t="s">
        <v>372</v>
      </c>
      <c r="B16" s="1">
        <v>10.0</v>
      </c>
      <c r="C16" s="37">
        <v>0.0</v>
      </c>
      <c r="D16" s="37">
        <v>0.0</v>
      </c>
      <c r="E16" s="1" t="s">
        <v>105</v>
      </c>
      <c r="F16" s="1" t="s">
        <v>115</v>
      </c>
      <c r="G16" s="1" t="s">
        <v>98</v>
      </c>
      <c r="J16" s="1" t="s">
        <v>15</v>
      </c>
      <c r="M16" s="38"/>
    </row>
    <row r="17">
      <c r="A17" s="1" t="s">
        <v>895</v>
      </c>
      <c r="B17" s="1">
        <v>10.0</v>
      </c>
      <c r="C17" s="37">
        <v>0.0</v>
      </c>
      <c r="D17" s="37">
        <v>250.0</v>
      </c>
      <c r="E17" s="1" t="s">
        <v>105</v>
      </c>
      <c r="F17" s="1" t="s">
        <v>107</v>
      </c>
      <c r="G17" s="1" t="s">
        <v>98</v>
      </c>
      <c r="H17" s="1" t="s">
        <v>109</v>
      </c>
      <c r="I17" s="1" t="s">
        <v>100</v>
      </c>
      <c r="J17" s="1" t="s">
        <v>28</v>
      </c>
      <c r="M17" s="38"/>
    </row>
    <row r="18">
      <c r="A18" s="1" t="s">
        <v>625</v>
      </c>
      <c r="C18" s="37">
        <v>0.0</v>
      </c>
      <c r="D18" s="1" t="s">
        <v>913</v>
      </c>
      <c r="J18" s="1" t="s">
        <v>22</v>
      </c>
      <c r="M18" s="38"/>
    </row>
    <row r="19">
      <c r="A19" s="1" t="s">
        <v>914</v>
      </c>
      <c r="C19" s="37">
        <v>0.0</v>
      </c>
      <c r="D19" s="37">
        <v>0.0</v>
      </c>
      <c r="J19" s="1" t="s">
        <v>42</v>
      </c>
      <c r="M19" s="38"/>
    </row>
    <row r="20">
      <c r="A20" s="1" t="s">
        <v>915</v>
      </c>
      <c r="C20" s="37">
        <v>0.0</v>
      </c>
      <c r="D20" s="1" t="s">
        <v>96</v>
      </c>
      <c r="E20" s="1" t="s">
        <v>132</v>
      </c>
      <c r="F20" s="1" t="s">
        <v>916</v>
      </c>
      <c r="G20" s="1" t="s">
        <v>98</v>
      </c>
      <c r="J20" s="1" t="s">
        <v>28</v>
      </c>
      <c r="M20" s="38"/>
    </row>
    <row r="21">
      <c r="A21" s="1" t="s">
        <v>917</v>
      </c>
      <c r="B21" s="1"/>
      <c r="C21" s="37">
        <v>0.0</v>
      </c>
      <c r="D21" s="1" t="s">
        <v>96</v>
      </c>
      <c r="E21" s="1" t="s">
        <v>132</v>
      </c>
      <c r="G21" s="1" t="s">
        <v>98</v>
      </c>
      <c r="J21" s="1" t="s">
        <v>35</v>
      </c>
      <c r="M21" s="38"/>
    </row>
    <row r="22">
      <c r="A22" s="1" t="s">
        <v>536</v>
      </c>
      <c r="B22" s="1">
        <v>0.0</v>
      </c>
      <c r="C22" s="1">
        <v>0.0</v>
      </c>
      <c r="D22" s="1" t="s">
        <v>112</v>
      </c>
      <c r="E22" s="1" t="s">
        <v>132</v>
      </c>
      <c r="G22" s="1"/>
      <c r="J22" s="1" t="s">
        <v>21</v>
      </c>
      <c r="M22" s="38"/>
    </row>
    <row r="23">
      <c r="A23" s="1" t="s">
        <v>512</v>
      </c>
      <c r="B23" s="1">
        <v>0.0</v>
      </c>
      <c r="C23" s="1">
        <v>0.0</v>
      </c>
      <c r="D23" s="1" t="s">
        <v>112</v>
      </c>
      <c r="E23" s="1" t="s">
        <v>132</v>
      </c>
      <c r="G23" s="1"/>
      <c r="J23" s="1" t="s">
        <v>21</v>
      </c>
      <c r="M23" s="38"/>
    </row>
    <row r="24">
      <c r="A24" s="1" t="s">
        <v>611</v>
      </c>
      <c r="B24" s="1">
        <v>0.0</v>
      </c>
      <c r="C24" s="1">
        <f>15+50</f>
        <v>65</v>
      </c>
      <c r="D24" s="1" t="s">
        <v>112</v>
      </c>
      <c r="E24" s="1" t="s">
        <v>132</v>
      </c>
      <c r="G24" s="1"/>
      <c r="J24" s="1" t="s">
        <v>34</v>
      </c>
      <c r="M24" s="38"/>
    </row>
    <row r="25">
      <c r="A25" s="1" t="s">
        <v>612</v>
      </c>
      <c r="B25" s="1">
        <v>0.0</v>
      </c>
      <c r="C25" s="1">
        <v>0.0</v>
      </c>
      <c r="D25" s="1" t="s">
        <v>112</v>
      </c>
      <c r="E25" s="1" t="s">
        <v>105</v>
      </c>
      <c r="G25" s="1"/>
      <c r="J25" s="1" t="s">
        <v>18</v>
      </c>
      <c r="M25" s="38"/>
    </row>
    <row r="26">
      <c r="A26" s="1" t="s">
        <v>613</v>
      </c>
      <c r="B26" s="1">
        <v>8.0</v>
      </c>
      <c r="C26" s="1">
        <v>480.0</v>
      </c>
      <c r="D26" s="1" t="s">
        <v>112</v>
      </c>
      <c r="E26" s="1" t="s">
        <v>132</v>
      </c>
      <c r="G26" s="1"/>
      <c r="J26" s="1" t="s">
        <v>23</v>
      </c>
      <c r="K26" s="42">
        <v>44987.0</v>
      </c>
      <c r="M26" s="38"/>
    </row>
    <row r="27">
      <c r="A27" s="1" t="s">
        <v>154</v>
      </c>
      <c r="B27" s="1">
        <v>1.0</v>
      </c>
      <c r="C27" s="1">
        <v>4.0</v>
      </c>
      <c r="D27" s="1" t="s">
        <v>96</v>
      </c>
      <c r="E27" s="1" t="s">
        <v>105</v>
      </c>
      <c r="J27" s="1" t="s">
        <v>39</v>
      </c>
      <c r="M27" s="38"/>
    </row>
    <row r="28">
      <c r="A28" s="1" t="s">
        <v>891</v>
      </c>
      <c r="B28" s="1">
        <v>1.0</v>
      </c>
      <c r="C28" s="1">
        <v>38.0</v>
      </c>
      <c r="D28" s="1" t="s">
        <v>96</v>
      </c>
      <c r="E28" s="1" t="s">
        <v>105</v>
      </c>
      <c r="G28" s="1"/>
      <c r="J28" s="1" t="s">
        <v>32</v>
      </c>
      <c r="M28" s="38"/>
    </row>
    <row r="29">
      <c r="A29" s="1" t="s">
        <v>892</v>
      </c>
      <c r="B29" s="1">
        <v>1.0</v>
      </c>
      <c r="C29" s="1">
        <v>121.42</v>
      </c>
      <c r="D29" s="1" t="s">
        <v>96</v>
      </c>
      <c r="E29" s="1" t="s">
        <v>105</v>
      </c>
      <c r="G29" s="1"/>
      <c r="J29" s="1" t="s">
        <v>31</v>
      </c>
      <c r="M29" s="38"/>
    </row>
    <row r="30">
      <c r="A30" s="1" t="s">
        <v>402</v>
      </c>
      <c r="B30" s="1">
        <v>1.0</v>
      </c>
      <c r="C30" s="1">
        <v>362.95</v>
      </c>
      <c r="D30" s="1" t="s">
        <v>96</v>
      </c>
      <c r="E30" s="1" t="s">
        <v>105</v>
      </c>
      <c r="G30" s="1"/>
      <c r="J30" s="1" t="s">
        <v>15</v>
      </c>
      <c r="M30" s="38"/>
    </row>
    <row r="31">
      <c r="A31" s="1" t="s">
        <v>154</v>
      </c>
      <c r="B31" s="1">
        <v>1.0</v>
      </c>
      <c r="C31" s="1">
        <v>4.0</v>
      </c>
      <c r="D31" s="1" t="s">
        <v>96</v>
      </c>
      <c r="E31" s="1" t="s">
        <v>105</v>
      </c>
      <c r="G31" s="1"/>
      <c r="J31" s="1" t="s">
        <v>39</v>
      </c>
      <c r="M31" s="38"/>
    </row>
    <row r="32">
      <c r="A32" s="1" t="s">
        <v>918</v>
      </c>
      <c r="B32" s="1">
        <v>24.0</v>
      </c>
      <c r="C32" s="1">
        <v>100.0</v>
      </c>
      <c r="D32" s="1" t="s">
        <v>96</v>
      </c>
      <c r="E32" s="1" t="s">
        <v>133</v>
      </c>
      <c r="J32" s="1" t="s">
        <v>32</v>
      </c>
      <c r="K32" s="42">
        <v>44987.0</v>
      </c>
      <c r="M32" s="38"/>
    </row>
    <row r="33">
      <c r="A33" s="1" t="s">
        <v>919</v>
      </c>
      <c r="B33" s="1">
        <v>1.0</v>
      </c>
      <c r="C33" s="1">
        <v>160.0</v>
      </c>
      <c r="D33" s="1" t="s">
        <v>96</v>
      </c>
      <c r="E33" s="1" t="s">
        <v>133</v>
      </c>
      <c r="G33" s="1"/>
      <c r="J33" s="1" t="s">
        <v>28</v>
      </c>
      <c r="M33" s="38"/>
    </row>
    <row r="34">
      <c r="A34" s="1" t="s">
        <v>919</v>
      </c>
      <c r="B34" s="1">
        <v>4.0</v>
      </c>
      <c r="C34" s="1">
        <v>160.0</v>
      </c>
      <c r="D34" s="1" t="s">
        <v>96</v>
      </c>
      <c r="E34" s="1" t="s">
        <v>133</v>
      </c>
      <c r="G34" s="1"/>
      <c r="J34" s="1" t="s">
        <v>28</v>
      </c>
      <c r="M34" s="38"/>
    </row>
    <row r="35">
      <c r="A35" s="1" t="s">
        <v>919</v>
      </c>
      <c r="B35" s="1">
        <v>11.0</v>
      </c>
      <c r="C35" s="1">
        <v>160.0</v>
      </c>
      <c r="D35" s="1" t="s">
        <v>96</v>
      </c>
      <c r="E35" s="1" t="s">
        <v>133</v>
      </c>
      <c r="G35" s="1"/>
      <c r="J35" s="1" t="s">
        <v>28</v>
      </c>
      <c r="M35" s="38"/>
    </row>
    <row r="36">
      <c r="A36" s="1" t="s">
        <v>919</v>
      </c>
      <c r="B36" s="1">
        <v>18.0</v>
      </c>
      <c r="C36" s="1">
        <v>160.0</v>
      </c>
      <c r="D36" s="1" t="s">
        <v>96</v>
      </c>
      <c r="E36" s="1" t="s">
        <v>133</v>
      </c>
      <c r="G36" s="1"/>
      <c r="J36" s="1" t="s">
        <v>28</v>
      </c>
      <c r="M36" s="38"/>
    </row>
    <row r="37">
      <c r="A37" s="1" t="s">
        <v>920</v>
      </c>
      <c r="B37" s="1">
        <v>2.0</v>
      </c>
      <c r="C37" s="1">
        <v>8.0</v>
      </c>
      <c r="D37" s="1" t="s">
        <v>96</v>
      </c>
      <c r="E37" s="1" t="s">
        <v>133</v>
      </c>
      <c r="G37" s="1"/>
      <c r="J37" s="1" t="s">
        <v>42</v>
      </c>
      <c r="M37" s="38"/>
    </row>
    <row r="38">
      <c r="A38" s="1" t="s">
        <v>921</v>
      </c>
      <c r="B38" s="1">
        <v>2.0</v>
      </c>
      <c r="C38" s="1">
        <v>50.0</v>
      </c>
      <c r="D38" s="1" t="s">
        <v>112</v>
      </c>
      <c r="E38" s="1" t="s">
        <v>133</v>
      </c>
      <c r="G38" s="1"/>
      <c r="J38" s="1" t="s">
        <v>41</v>
      </c>
      <c r="M38" s="38"/>
    </row>
    <row r="39">
      <c r="A39" s="1" t="s">
        <v>154</v>
      </c>
      <c r="B39" s="1">
        <v>3.0</v>
      </c>
      <c r="C39" s="1">
        <v>4.0</v>
      </c>
      <c r="D39" s="1" t="s">
        <v>96</v>
      </c>
      <c r="E39" s="1" t="s">
        <v>133</v>
      </c>
      <c r="G39" s="1"/>
      <c r="J39" s="1" t="s">
        <v>39</v>
      </c>
      <c r="M39" s="38"/>
    </row>
    <row r="40">
      <c r="A40" s="1" t="s">
        <v>809</v>
      </c>
      <c r="B40" s="1">
        <v>3.0</v>
      </c>
      <c r="C40" s="1">
        <v>20.0</v>
      </c>
      <c r="D40" s="1" t="s">
        <v>96</v>
      </c>
      <c r="E40" s="1" t="s">
        <v>133</v>
      </c>
      <c r="G40" s="1"/>
      <c r="J40" s="1" t="s">
        <v>18</v>
      </c>
      <c r="M40" s="38"/>
    </row>
    <row r="41">
      <c r="A41" s="1" t="s">
        <v>154</v>
      </c>
      <c r="B41" s="1">
        <v>4.0</v>
      </c>
      <c r="C41" s="1">
        <v>4.0</v>
      </c>
      <c r="D41" s="1" t="s">
        <v>96</v>
      </c>
      <c r="E41" s="1" t="s">
        <v>133</v>
      </c>
      <c r="G41" s="1"/>
      <c r="J41" s="1" t="s">
        <v>39</v>
      </c>
      <c r="M41" s="36"/>
    </row>
    <row r="42">
      <c r="A42" s="1" t="s">
        <v>534</v>
      </c>
      <c r="B42" s="1">
        <v>4.0</v>
      </c>
      <c r="C42" s="1">
        <v>7.9</v>
      </c>
      <c r="D42" s="1" t="s">
        <v>96</v>
      </c>
      <c r="E42" s="1" t="s">
        <v>133</v>
      </c>
      <c r="G42" s="1"/>
      <c r="J42" s="1" t="s">
        <v>34</v>
      </c>
      <c r="M42" s="38"/>
    </row>
    <row r="43">
      <c r="A43" s="1" t="s">
        <v>165</v>
      </c>
      <c r="B43" s="1">
        <v>4.0</v>
      </c>
      <c r="C43" s="1">
        <v>183.48</v>
      </c>
      <c r="D43" s="1" t="s">
        <v>96</v>
      </c>
      <c r="E43" s="1" t="s">
        <v>133</v>
      </c>
      <c r="G43" s="1"/>
      <c r="J43" s="1" t="s">
        <v>29</v>
      </c>
      <c r="M43" s="38"/>
    </row>
    <row r="44">
      <c r="A44" s="1" t="s">
        <v>922</v>
      </c>
      <c r="B44" s="1">
        <v>5.0</v>
      </c>
      <c r="C44" s="1">
        <v>180.0</v>
      </c>
      <c r="D44" s="1" t="s">
        <v>96</v>
      </c>
      <c r="E44" s="1" t="s">
        <v>133</v>
      </c>
      <c r="G44" s="1"/>
      <c r="J44" s="1" t="s">
        <v>33</v>
      </c>
      <c r="M44" s="38"/>
    </row>
    <row r="45">
      <c r="A45" s="1" t="s">
        <v>809</v>
      </c>
      <c r="B45" s="1">
        <v>5.0</v>
      </c>
      <c r="C45" s="1">
        <v>40.62</v>
      </c>
      <c r="D45" s="1" t="s">
        <v>96</v>
      </c>
      <c r="E45" s="1" t="s">
        <v>133</v>
      </c>
      <c r="G45" s="1"/>
      <c r="J45" s="1" t="s">
        <v>18</v>
      </c>
      <c r="M45" s="38"/>
    </row>
    <row r="46">
      <c r="A46" s="1" t="s">
        <v>923</v>
      </c>
      <c r="B46" s="1">
        <v>5.0</v>
      </c>
      <c r="C46" s="1">
        <v>131.8</v>
      </c>
      <c r="D46" s="1" t="s">
        <v>96</v>
      </c>
      <c r="E46" s="1" t="s">
        <v>133</v>
      </c>
      <c r="G46" s="1"/>
      <c r="J46" s="1" t="s">
        <v>28</v>
      </c>
      <c r="M46" s="38"/>
    </row>
    <row r="47">
      <c r="A47" s="1" t="s">
        <v>924</v>
      </c>
      <c r="B47" s="1">
        <v>8.0</v>
      </c>
      <c r="C47" s="1">
        <v>991.28</v>
      </c>
      <c r="D47" s="1" t="s">
        <v>96</v>
      </c>
      <c r="E47" s="1" t="s">
        <v>133</v>
      </c>
      <c r="G47" s="1"/>
      <c r="J47" s="1" t="s">
        <v>42</v>
      </c>
      <c r="M47" s="38"/>
    </row>
    <row r="48">
      <c r="A48" s="1" t="s">
        <v>165</v>
      </c>
      <c r="B48" s="1">
        <v>8.0</v>
      </c>
      <c r="C48" s="1">
        <v>120.02</v>
      </c>
      <c r="D48" s="1" t="s">
        <v>96</v>
      </c>
      <c r="E48" s="1" t="s">
        <v>133</v>
      </c>
      <c r="G48" s="1"/>
      <c r="J48" s="1" t="s">
        <v>29</v>
      </c>
      <c r="M48" s="38"/>
    </row>
    <row r="49">
      <c r="A49" s="1" t="s">
        <v>347</v>
      </c>
      <c r="B49" s="1">
        <v>11.0</v>
      </c>
      <c r="C49" s="1">
        <v>42.9</v>
      </c>
      <c r="D49" s="1" t="s">
        <v>96</v>
      </c>
      <c r="E49" s="1" t="s">
        <v>133</v>
      </c>
      <c r="G49" s="1"/>
      <c r="J49" s="1" t="s">
        <v>24</v>
      </c>
      <c r="M49" s="38"/>
    </row>
    <row r="50">
      <c r="A50" s="1" t="s">
        <v>154</v>
      </c>
      <c r="B50" s="1">
        <v>12.0</v>
      </c>
      <c r="C50" s="1">
        <v>4.0</v>
      </c>
      <c r="D50" s="1" t="s">
        <v>96</v>
      </c>
      <c r="E50" s="1" t="s">
        <v>133</v>
      </c>
      <c r="G50" s="1"/>
      <c r="J50" s="1" t="s">
        <v>39</v>
      </c>
      <c r="M50" s="38"/>
    </row>
    <row r="51">
      <c r="A51" s="1" t="s">
        <v>165</v>
      </c>
      <c r="B51" s="1">
        <v>12.0</v>
      </c>
      <c r="C51" s="1">
        <v>183.81</v>
      </c>
      <c r="D51" s="1" t="s">
        <v>96</v>
      </c>
      <c r="E51" s="1" t="s">
        <v>133</v>
      </c>
      <c r="G51" s="1"/>
      <c r="J51" s="1" t="s">
        <v>29</v>
      </c>
      <c r="M51" s="38"/>
    </row>
    <row r="52">
      <c r="A52" s="1" t="s">
        <v>154</v>
      </c>
      <c r="B52" s="1">
        <v>13.0</v>
      </c>
      <c r="C52" s="1">
        <v>4.0</v>
      </c>
      <c r="D52" s="1" t="s">
        <v>96</v>
      </c>
      <c r="E52" s="1" t="s">
        <v>133</v>
      </c>
      <c r="G52" s="1"/>
      <c r="J52" s="1" t="s">
        <v>39</v>
      </c>
      <c r="M52" s="38"/>
    </row>
    <row r="53">
      <c r="A53" s="1" t="s">
        <v>809</v>
      </c>
      <c r="B53" s="1">
        <v>13.0</v>
      </c>
      <c r="C53" s="1">
        <v>39.85</v>
      </c>
      <c r="D53" s="1" t="s">
        <v>96</v>
      </c>
      <c r="E53" s="1" t="s">
        <v>133</v>
      </c>
      <c r="G53" s="1"/>
      <c r="J53" s="1" t="s">
        <v>18</v>
      </c>
      <c r="M53" s="38"/>
    </row>
    <row r="54">
      <c r="A54" s="1" t="s">
        <v>261</v>
      </c>
      <c r="B54" s="1">
        <v>14.0</v>
      </c>
      <c r="C54" s="1">
        <v>165.9</v>
      </c>
      <c r="D54" s="1" t="s">
        <v>96</v>
      </c>
      <c r="E54" s="1" t="s">
        <v>133</v>
      </c>
      <c r="G54" s="1"/>
      <c r="J54" s="1" t="s">
        <v>29</v>
      </c>
      <c r="M54" s="38"/>
    </row>
    <row r="55">
      <c r="A55" s="1" t="s">
        <v>925</v>
      </c>
      <c r="B55" s="1">
        <v>18.0</v>
      </c>
      <c r="C55" s="1">
        <v>24.5</v>
      </c>
      <c r="D55" s="1" t="s">
        <v>96</v>
      </c>
      <c r="E55" s="1" t="s">
        <v>133</v>
      </c>
      <c r="G55" s="1"/>
      <c r="J55" s="1" t="s">
        <v>28</v>
      </c>
      <c r="M55" s="38"/>
    </row>
    <row r="56">
      <c r="A56" s="1" t="s">
        <v>247</v>
      </c>
      <c r="B56" s="1">
        <v>18.0</v>
      </c>
      <c r="C56" s="1">
        <v>115.27</v>
      </c>
      <c r="D56" s="1" t="s">
        <v>96</v>
      </c>
      <c r="E56" s="1" t="s">
        <v>133</v>
      </c>
      <c r="G56" s="1"/>
      <c r="J56" s="1" t="s">
        <v>29</v>
      </c>
      <c r="M56" s="38"/>
    </row>
    <row r="57">
      <c r="A57" s="1" t="s">
        <v>809</v>
      </c>
      <c r="B57" s="1">
        <v>19.0</v>
      </c>
      <c r="C57" s="1">
        <v>39.43</v>
      </c>
      <c r="D57" s="1" t="s">
        <v>96</v>
      </c>
      <c r="E57" s="1" t="s">
        <v>133</v>
      </c>
      <c r="G57" s="1"/>
      <c r="J57" s="1" t="s">
        <v>18</v>
      </c>
      <c r="M57" s="38"/>
    </row>
    <row r="58">
      <c r="A58" s="1" t="s">
        <v>154</v>
      </c>
      <c r="B58" s="1">
        <v>20.0</v>
      </c>
      <c r="C58" s="1">
        <v>4.0</v>
      </c>
      <c r="D58" s="1" t="s">
        <v>96</v>
      </c>
      <c r="E58" s="1" t="s">
        <v>133</v>
      </c>
      <c r="G58" s="1"/>
      <c r="J58" s="1" t="s">
        <v>39</v>
      </c>
      <c r="M58" s="38"/>
    </row>
    <row r="59">
      <c r="A59" s="1" t="s">
        <v>926</v>
      </c>
      <c r="B59" s="1">
        <v>20.0</v>
      </c>
      <c r="C59" s="1">
        <v>695.37</v>
      </c>
      <c r="D59" s="1" t="s">
        <v>96</v>
      </c>
      <c r="E59" s="1" t="s">
        <v>133</v>
      </c>
      <c r="G59" s="1"/>
      <c r="J59" s="1" t="s">
        <v>28</v>
      </c>
      <c r="M59" s="38"/>
    </row>
    <row r="60">
      <c r="A60" s="1" t="s">
        <v>927</v>
      </c>
      <c r="B60" s="1">
        <v>21.0</v>
      </c>
      <c r="C60" s="1">
        <v>22.0</v>
      </c>
      <c r="D60" s="1" t="s">
        <v>96</v>
      </c>
      <c r="E60" s="1" t="s">
        <v>133</v>
      </c>
      <c r="G60" s="1"/>
      <c r="J60" s="1" t="s">
        <v>34</v>
      </c>
      <c r="M60" s="38"/>
    </row>
    <row r="61">
      <c r="A61" s="1" t="s">
        <v>812</v>
      </c>
      <c r="B61" s="1">
        <v>21.0</v>
      </c>
      <c r="C61" s="1">
        <v>20.0</v>
      </c>
      <c r="D61" s="1" t="s">
        <v>96</v>
      </c>
      <c r="E61" s="1" t="s">
        <v>133</v>
      </c>
      <c r="G61" s="1"/>
      <c r="J61" s="1" t="s">
        <v>18</v>
      </c>
      <c r="M61" s="38"/>
    </row>
    <row r="62">
      <c r="A62" s="1" t="s">
        <v>928</v>
      </c>
      <c r="B62" s="1">
        <v>21.0</v>
      </c>
      <c r="C62" s="1">
        <v>12.0</v>
      </c>
      <c r="D62" s="1" t="s">
        <v>96</v>
      </c>
      <c r="E62" s="1" t="s">
        <v>133</v>
      </c>
      <c r="G62" s="1"/>
      <c r="J62" s="1" t="s">
        <v>34</v>
      </c>
      <c r="M62" s="38"/>
    </row>
    <row r="63">
      <c r="A63" s="1" t="s">
        <v>770</v>
      </c>
      <c r="B63" s="1">
        <v>21.0</v>
      </c>
      <c r="C63" s="1">
        <v>37.54</v>
      </c>
      <c r="D63" s="1" t="s">
        <v>96</v>
      </c>
      <c r="E63" s="1" t="s">
        <v>133</v>
      </c>
      <c r="G63" s="1"/>
      <c r="J63" s="1" t="s">
        <v>32</v>
      </c>
      <c r="M63" s="38"/>
    </row>
    <row r="64">
      <c r="A64" s="1" t="s">
        <v>271</v>
      </c>
      <c r="B64" s="1">
        <v>21.0</v>
      </c>
      <c r="C64" s="1">
        <v>57.14</v>
      </c>
      <c r="D64" s="1" t="s">
        <v>96</v>
      </c>
      <c r="E64" s="1" t="s">
        <v>133</v>
      </c>
      <c r="G64" s="1"/>
      <c r="J64" s="1" t="s">
        <v>29</v>
      </c>
      <c r="M64" s="38"/>
    </row>
    <row r="65">
      <c r="A65" s="1" t="s">
        <v>929</v>
      </c>
      <c r="B65" s="1">
        <v>21.0</v>
      </c>
      <c r="C65" s="1">
        <v>32.7</v>
      </c>
      <c r="D65" s="1" t="s">
        <v>96</v>
      </c>
      <c r="E65" s="1" t="s">
        <v>133</v>
      </c>
      <c r="G65" s="1"/>
      <c r="J65" s="1" t="s">
        <v>28</v>
      </c>
      <c r="M65" s="38"/>
    </row>
    <row r="66">
      <c r="A66" s="1" t="s">
        <v>154</v>
      </c>
      <c r="B66" s="1">
        <v>22.0</v>
      </c>
      <c r="C66" s="1">
        <v>10.4</v>
      </c>
      <c r="D66" s="1" t="s">
        <v>96</v>
      </c>
      <c r="E66" s="1" t="s">
        <v>133</v>
      </c>
      <c r="G66" s="1"/>
      <c r="J66" s="1" t="s">
        <v>39</v>
      </c>
      <c r="M66" s="38"/>
    </row>
    <row r="67">
      <c r="A67" s="1" t="s">
        <v>271</v>
      </c>
      <c r="B67" s="1">
        <v>22.0</v>
      </c>
      <c r="C67" s="1">
        <v>81.9</v>
      </c>
      <c r="D67" s="1" t="s">
        <v>96</v>
      </c>
      <c r="E67" s="1" t="s">
        <v>133</v>
      </c>
      <c r="G67" s="1"/>
      <c r="J67" s="1" t="s">
        <v>29</v>
      </c>
      <c r="M67" s="36" t="s">
        <v>476</v>
      </c>
    </row>
    <row r="68">
      <c r="A68" s="1" t="s">
        <v>930</v>
      </c>
      <c r="B68" s="1">
        <v>22.0</v>
      </c>
      <c r="C68" s="1">
        <v>34.9</v>
      </c>
      <c r="D68" s="1" t="s">
        <v>96</v>
      </c>
      <c r="E68" s="1" t="s">
        <v>133</v>
      </c>
      <c r="G68" s="1"/>
      <c r="J68" s="1" t="s">
        <v>34</v>
      </c>
      <c r="M68" s="36" t="s">
        <v>476</v>
      </c>
    </row>
    <row r="69">
      <c r="A69" s="1" t="s">
        <v>930</v>
      </c>
      <c r="B69" s="1">
        <v>22.0</v>
      </c>
      <c r="C69" s="1">
        <v>57.8</v>
      </c>
      <c r="D69" s="1" t="s">
        <v>96</v>
      </c>
      <c r="E69" s="1" t="s">
        <v>133</v>
      </c>
      <c r="G69" s="1"/>
      <c r="J69" s="1" t="s">
        <v>34</v>
      </c>
      <c r="M69" s="36" t="s">
        <v>476</v>
      </c>
    </row>
    <row r="70">
      <c r="A70" s="1" t="s">
        <v>931</v>
      </c>
      <c r="B70" s="1">
        <v>22.0</v>
      </c>
      <c r="C70" s="1">
        <v>20.0</v>
      </c>
      <c r="D70" s="1" t="s">
        <v>96</v>
      </c>
      <c r="E70" s="1" t="s">
        <v>133</v>
      </c>
      <c r="J70" s="1" t="s">
        <v>18</v>
      </c>
      <c r="M70" s="36" t="s">
        <v>476</v>
      </c>
    </row>
    <row r="71">
      <c r="A71" s="1" t="s">
        <v>809</v>
      </c>
      <c r="B71" s="1">
        <v>23.0</v>
      </c>
      <c r="C71" s="1">
        <v>30.0</v>
      </c>
      <c r="D71" s="1" t="s">
        <v>96</v>
      </c>
      <c r="E71" s="1" t="s">
        <v>133</v>
      </c>
      <c r="J71" s="1" t="s">
        <v>18</v>
      </c>
      <c r="M71" s="36" t="s">
        <v>476</v>
      </c>
    </row>
    <row r="72">
      <c r="A72" s="1" t="s">
        <v>29</v>
      </c>
      <c r="B72" s="1">
        <v>23.0</v>
      </c>
      <c r="C72" s="1">
        <v>5.68</v>
      </c>
      <c r="D72" s="1" t="s">
        <v>96</v>
      </c>
      <c r="E72" s="1" t="s">
        <v>133</v>
      </c>
      <c r="J72" s="1" t="s">
        <v>29</v>
      </c>
      <c r="M72" s="36" t="s">
        <v>476</v>
      </c>
    </row>
    <row r="73">
      <c r="A73" s="1" t="s">
        <v>29</v>
      </c>
      <c r="B73" s="1">
        <v>24.0</v>
      </c>
      <c r="C73" s="1">
        <v>289.65</v>
      </c>
      <c r="D73" s="1" t="s">
        <v>96</v>
      </c>
      <c r="E73" s="1" t="s">
        <v>133</v>
      </c>
      <c r="J73" s="1" t="s">
        <v>29</v>
      </c>
      <c r="M73" s="36" t="s">
        <v>476</v>
      </c>
    </row>
    <row r="74">
      <c r="A74" s="1" t="s">
        <v>809</v>
      </c>
      <c r="B74" s="1">
        <v>24.0</v>
      </c>
      <c r="C74" s="1">
        <v>41.3</v>
      </c>
      <c r="D74" s="1" t="s">
        <v>96</v>
      </c>
      <c r="E74" s="1" t="s">
        <v>133</v>
      </c>
      <c r="J74" s="1" t="s">
        <v>18</v>
      </c>
      <c r="M74" s="36" t="s">
        <v>476</v>
      </c>
    </row>
    <row r="75">
      <c r="A75" s="1" t="s">
        <v>919</v>
      </c>
      <c r="B75" s="1">
        <v>25.0</v>
      </c>
      <c r="C75" s="1">
        <v>160.0</v>
      </c>
      <c r="D75" s="1" t="s">
        <v>96</v>
      </c>
      <c r="E75" s="1" t="s">
        <v>133</v>
      </c>
      <c r="J75" s="1" t="s">
        <v>43</v>
      </c>
      <c r="M75" s="36" t="s">
        <v>476</v>
      </c>
    </row>
    <row r="76">
      <c r="A76" s="1" t="s">
        <v>51</v>
      </c>
      <c r="B76" s="1">
        <v>0.0</v>
      </c>
      <c r="C76" s="1">
        <v>0.0</v>
      </c>
      <c r="D76" s="1" t="s">
        <v>96</v>
      </c>
      <c r="E76" s="1" t="s">
        <v>117</v>
      </c>
      <c r="J76" s="1" t="s">
        <v>43</v>
      </c>
      <c r="M76" s="36" t="s">
        <v>476</v>
      </c>
    </row>
    <row r="77">
      <c r="A77" s="1" t="s">
        <v>51</v>
      </c>
      <c r="B77" s="1">
        <v>0.0</v>
      </c>
      <c r="C77" s="1">
        <v>0.0</v>
      </c>
      <c r="D77" s="1" t="s">
        <v>96</v>
      </c>
      <c r="E77" s="1" t="s">
        <v>117</v>
      </c>
      <c r="J77" s="1" t="s">
        <v>43</v>
      </c>
      <c r="M77" s="36" t="s">
        <v>476</v>
      </c>
    </row>
    <row r="78">
      <c r="A78" s="1" t="s">
        <v>51</v>
      </c>
      <c r="B78" s="1">
        <v>0.0</v>
      </c>
      <c r="C78" s="1">
        <v>0.0</v>
      </c>
      <c r="D78" s="1" t="s">
        <v>96</v>
      </c>
      <c r="E78" s="1" t="s">
        <v>117</v>
      </c>
      <c r="J78" s="1" t="s">
        <v>43</v>
      </c>
      <c r="M78" s="36" t="s">
        <v>476</v>
      </c>
    </row>
    <row r="79">
      <c r="A79" s="1" t="s">
        <v>51</v>
      </c>
      <c r="B79" s="1">
        <v>0.0</v>
      </c>
      <c r="C79" s="1">
        <v>0.0</v>
      </c>
      <c r="D79" s="1" t="s">
        <v>96</v>
      </c>
      <c r="E79" s="1" t="s">
        <v>117</v>
      </c>
      <c r="J79" s="1" t="s">
        <v>43</v>
      </c>
      <c r="M79" s="36" t="s">
        <v>476</v>
      </c>
    </row>
    <row r="80">
      <c r="A80" s="1" t="s">
        <v>51</v>
      </c>
      <c r="B80" s="1">
        <v>0.0</v>
      </c>
      <c r="C80" s="1">
        <v>0.0</v>
      </c>
      <c r="D80" s="1" t="s">
        <v>96</v>
      </c>
      <c r="E80" s="1" t="s">
        <v>117</v>
      </c>
      <c r="J80" s="1" t="s">
        <v>43</v>
      </c>
      <c r="M80" s="36" t="s">
        <v>476</v>
      </c>
    </row>
    <row r="81">
      <c r="A81" s="1" t="s">
        <v>51</v>
      </c>
      <c r="B81" s="1">
        <v>0.0</v>
      </c>
      <c r="C81" s="1">
        <v>0.0</v>
      </c>
      <c r="D81" s="1" t="s">
        <v>96</v>
      </c>
      <c r="E81" s="1" t="s">
        <v>117</v>
      </c>
      <c r="J81" s="1" t="s">
        <v>43</v>
      </c>
      <c r="M81" s="36" t="s">
        <v>476</v>
      </c>
    </row>
    <row r="82">
      <c r="A82" s="1" t="s">
        <v>51</v>
      </c>
      <c r="B82" s="1">
        <v>0.0</v>
      </c>
      <c r="C82" s="1">
        <v>0.0</v>
      </c>
      <c r="D82" s="1" t="s">
        <v>96</v>
      </c>
      <c r="E82" s="1" t="s">
        <v>117</v>
      </c>
      <c r="J82" s="1" t="s">
        <v>43</v>
      </c>
      <c r="M82" s="36" t="s">
        <v>476</v>
      </c>
    </row>
    <row r="83">
      <c r="A83" s="1" t="s">
        <v>51</v>
      </c>
      <c r="B83" s="1">
        <v>0.0</v>
      </c>
      <c r="C83" s="1">
        <v>0.0</v>
      </c>
      <c r="D83" s="1" t="s">
        <v>96</v>
      </c>
      <c r="E83" s="1" t="s">
        <v>117</v>
      </c>
      <c r="J83" s="1" t="s">
        <v>43</v>
      </c>
      <c r="M83" s="36" t="s">
        <v>476</v>
      </c>
    </row>
    <row r="84">
      <c r="A84" s="1" t="s">
        <v>51</v>
      </c>
      <c r="B84" s="1">
        <v>0.0</v>
      </c>
      <c r="C84" s="1">
        <v>0.0</v>
      </c>
      <c r="D84" s="1" t="s">
        <v>96</v>
      </c>
      <c r="E84" s="1" t="s">
        <v>117</v>
      </c>
      <c r="J84" s="1" t="s">
        <v>43</v>
      </c>
      <c r="M84" s="38"/>
    </row>
    <row r="85">
      <c r="A85" s="1" t="s">
        <v>51</v>
      </c>
      <c r="B85" s="1">
        <v>0.0</v>
      </c>
      <c r="C85" s="1">
        <v>0.0</v>
      </c>
      <c r="D85" s="1" t="s">
        <v>96</v>
      </c>
      <c r="E85" s="1" t="s">
        <v>117</v>
      </c>
      <c r="J85" s="1" t="s">
        <v>29</v>
      </c>
      <c r="M85" s="38"/>
    </row>
    <row r="86">
      <c r="A86" s="1" t="s">
        <v>51</v>
      </c>
      <c r="B86" s="1">
        <v>0.0</v>
      </c>
      <c r="C86" s="1">
        <v>0.0</v>
      </c>
      <c r="D86" s="1" t="s">
        <v>96</v>
      </c>
      <c r="E86" s="1" t="s">
        <v>117</v>
      </c>
      <c r="J86" s="1" t="s">
        <v>28</v>
      </c>
      <c r="M86" s="38"/>
    </row>
    <row r="87">
      <c r="A87" s="1" t="s">
        <v>51</v>
      </c>
      <c r="B87" s="1">
        <v>0.0</v>
      </c>
      <c r="C87" s="1">
        <v>0.0</v>
      </c>
      <c r="D87" s="1" t="s">
        <v>96</v>
      </c>
      <c r="E87" s="1" t="s">
        <v>117</v>
      </c>
      <c r="J87" s="1" t="s">
        <v>28</v>
      </c>
      <c r="M87" s="38"/>
    </row>
    <row r="88">
      <c r="A88" s="1" t="s">
        <v>51</v>
      </c>
      <c r="B88" s="1">
        <v>0.0</v>
      </c>
      <c r="C88" s="1">
        <v>0.0</v>
      </c>
      <c r="D88" s="1" t="s">
        <v>96</v>
      </c>
      <c r="E88" s="1" t="s">
        <v>117</v>
      </c>
      <c r="J88" s="1" t="s">
        <v>28</v>
      </c>
      <c r="M88" s="38"/>
    </row>
    <row r="89">
      <c r="A89" s="1" t="s">
        <v>51</v>
      </c>
      <c r="B89" s="1">
        <v>0.0</v>
      </c>
      <c r="C89" s="1">
        <v>0.0</v>
      </c>
      <c r="D89" s="1" t="s">
        <v>96</v>
      </c>
      <c r="E89" s="1" t="s">
        <v>117</v>
      </c>
      <c r="J89" s="1" t="s">
        <v>28</v>
      </c>
      <c r="M89" s="38"/>
    </row>
    <row r="90">
      <c r="A90" s="1"/>
      <c r="J90" s="14"/>
      <c r="M90" s="38"/>
    </row>
    <row r="91">
      <c r="A91" s="1"/>
      <c r="J91" s="14"/>
      <c r="M91" s="38"/>
    </row>
    <row r="92">
      <c r="A92" s="1"/>
      <c r="J92" s="14"/>
      <c r="M92" s="38"/>
    </row>
    <row r="93">
      <c r="A93" s="1"/>
      <c r="J93" s="14"/>
      <c r="M93" s="38"/>
    </row>
    <row r="94">
      <c r="A94" s="1"/>
      <c r="J94" s="14"/>
      <c r="M94" s="38"/>
    </row>
    <row r="95">
      <c r="A95" s="1"/>
      <c r="J95" s="14"/>
      <c r="M95" s="38"/>
    </row>
    <row r="96">
      <c r="A96" s="1"/>
      <c r="J96" s="14"/>
      <c r="M96" s="38"/>
    </row>
    <row r="97">
      <c r="A97" s="1"/>
      <c r="J97" s="14"/>
      <c r="M97" s="38"/>
    </row>
    <row r="98">
      <c r="A98" s="1"/>
      <c r="J98" s="14"/>
      <c r="M98" s="38"/>
    </row>
    <row r="99">
      <c r="A99" s="1"/>
      <c r="J99" s="14"/>
      <c r="M99" s="38"/>
    </row>
    <row r="100">
      <c r="A100" s="1"/>
      <c r="J100" s="14"/>
      <c r="M100" s="38"/>
    </row>
    <row r="101">
      <c r="A101" s="1"/>
      <c r="J101" s="14"/>
      <c r="M101" s="38"/>
    </row>
    <row r="102">
      <c r="A102" s="1" t="s">
        <v>236</v>
      </c>
      <c r="C102" s="14">
        <f>8892.96*0.3-(633.9)</f>
        <v>2033.988</v>
      </c>
      <c r="M102" s="38"/>
    </row>
    <row r="103">
      <c r="A103" s="1" t="s">
        <v>50</v>
      </c>
      <c r="C103" s="8">
        <f>SUM(C2:C101)</f>
        <v>8364.85</v>
      </c>
      <c r="D103" s="8">
        <f>8968.96-C103-C102</f>
        <v>-1429.878</v>
      </c>
      <c r="M103" s="38"/>
    </row>
    <row r="104">
      <c r="M104" s="38"/>
    </row>
    <row r="105">
      <c r="M105" s="38"/>
    </row>
    <row r="106">
      <c r="M106" s="38"/>
    </row>
    <row r="107">
      <c r="M107" s="38"/>
    </row>
    <row r="108">
      <c r="M108" s="38"/>
    </row>
    <row r="109">
      <c r="M109" s="38"/>
    </row>
    <row r="110">
      <c r="M110" s="38"/>
    </row>
    <row r="111">
      <c r="M111" s="38"/>
    </row>
    <row r="112">
      <c r="M112" s="38"/>
    </row>
    <row r="113">
      <c r="M113" s="38"/>
    </row>
    <row r="114">
      <c r="M114" s="38"/>
    </row>
    <row r="115">
      <c r="M115" s="38"/>
    </row>
    <row r="116">
      <c r="M116" s="38"/>
    </row>
    <row r="117"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6" t="s">
        <v>240</v>
      </c>
    </row>
    <row r="131">
      <c r="M131" s="38"/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8"/>
    </row>
    <row r="145">
      <c r="M145" s="38"/>
    </row>
    <row r="146">
      <c r="M146" s="38"/>
    </row>
    <row r="147">
      <c r="M147" s="38"/>
    </row>
    <row r="148">
      <c r="M148" s="38"/>
    </row>
    <row r="149">
      <c r="B149" s="8"/>
      <c r="M149" s="38"/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</sheetData>
  <autoFilter ref="$A$1:$BV$21"/>
  <conditionalFormatting sqref="B152">
    <cfRule type="cellIs" dxfId="1" priority="1" operator="greaterThanOrEqual">
      <formula>0</formula>
    </cfRule>
  </conditionalFormatting>
  <conditionalFormatting sqref="B152">
    <cfRule type="cellIs" dxfId="2" priority="2" operator="lessThan">
      <formula>0</formula>
    </cfRule>
  </conditionalFormatting>
  <dataValidations>
    <dataValidation type="list" allowBlank="1" showErrorMessage="1" sqref="J2:J101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2" t="s">
        <v>94</v>
      </c>
    </row>
    <row r="2">
      <c r="A2" s="1" t="s">
        <v>95</v>
      </c>
      <c r="B2" s="1">
        <v>5.0</v>
      </c>
      <c r="C2" s="37">
        <v>660.0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21"/>
    </row>
    <row r="3">
      <c r="A3" s="1" t="s">
        <v>102</v>
      </c>
      <c r="B3" s="1">
        <v>7.0</v>
      </c>
      <c r="C3" s="52">
        <f>(4501)-(4501*0.7636)</f>
        <v>1064.0364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21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21"/>
    </row>
    <row r="5">
      <c r="A5" s="1" t="s">
        <v>106</v>
      </c>
      <c r="B5" s="1">
        <v>14.0</v>
      </c>
      <c r="C5" s="37">
        <v>511.0</v>
      </c>
      <c r="D5" s="1" t="s">
        <v>96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  <c r="M5" s="21"/>
    </row>
    <row r="6">
      <c r="A6" s="1" t="s">
        <v>111</v>
      </c>
      <c r="B6" s="1">
        <v>11.0</v>
      </c>
      <c r="C6" s="37">
        <v>99.0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21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21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21"/>
    </row>
    <row r="9">
      <c r="A9" s="1" t="s">
        <v>119</v>
      </c>
      <c r="B9" s="1"/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21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21"/>
    </row>
    <row r="11">
      <c r="A11" s="1" t="s">
        <v>122</v>
      </c>
      <c r="B11" s="1">
        <v>2.0</v>
      </c>
      <c r="C11" s="37">
        <v>14.99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21"/>
    </row>
    <row r="12">
      <c r="A12" s="1" t="s">
        <v>123</v>
      </c>
      <c r="B12" s="1">
        <v>15.0</v>
      </c>
      <c r="C12" s="41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21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21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21"/>
    </row>
    <row r="15">
      <c r="A15" s="1" t="s">
        <v>126</v>
      </c>
      <c r="B15" s="1">
        <v>27.0</v>
      </c>
      <c r="C15" s="37">
        <v>218.5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21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>
        <v>45272.0</v>
      </c>
      <c r="L16" s="1" t="s">
        <v>101</v>
      </c>
      <c r="M16" s="21"/>
    </row>
    <row r="17">
      <c r="A17" s="1" t="s">
        <v>130</v>
      </c>
      <c r="B17" s="1">
        <v>27.0</v>
      </c>
      <c r="C17" s="37">
        <f>79.9+119.9+54.13+32.27</f>
        <v>286.2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21"/>
    </row>
    <row r="18">
      <c r="A18" s="1" t="s">
        <v>372</v>
      </c>
      <c r="B18" s="1">
        <v>10.0</v>
      </c>
      <c r="C18" s="37">
        <v>0.0</v>
      </c>
      <c r="D18" s="37">
        <v>0.0</v>
      </c>
      <c r="E18" s="1" t="s">
        <v>105</v>
      </c>
      <c r="F18" s="1" t="s">
        <v>115</v>
      </c>
      <c r="G18" s="1" t="s">
        <v>98</v>
      </c>
      <c r="J18" s="1" t="s">
        <v>15</v>
      </c>
      <c r="M18" s="21"/>
    </row>
    <row r="19">
      <c r="A19" s="1" t="s">
        <v>895</v>
      </c>
      <c r="B19" s="1">
        <v>10.0</v>
      </c>
      <c r="C19" s="37">
        <v>0.0</v>
      </c>
      <c r="D19" s="37">
        <v>250.0</v>
      </c>
      <c r="E19" s="1" t="s">
        <v>105</v>
      </c>
      <c r="F19" s="1" t="s">
        <v>107</v>
      </c>
      <c r="G19" s="1" t="s">
        <v>98</v>
      </c>
      <c r="H19" s="1" t="s">
        <v>109</v>
      </c>
      <c r="I19" s="1" t="s">
        <v>100</v>
      </c>
      <c r="J19" s="1" t="s">
        <v>28</v>
      </c>
      <c r="M19" s="21"/>
    </row>
    <row r="20">
      <c r="A20" s="1" t="s">
        <v>625</v>
      </c>
      <c r="C20" s="37">
        <v>0.0</v>
      </c>
      <c r="D20" s="1" t="s">
        <v>913</v>
      </c>
      <c r="J20" s="1" t="s">
        <v>22</v>
      </c>
      <c r="M20" s="21"/>
    </row>
    <row r="21">
      <c r="A21" s="1" t="s">
        <v>914</v>
      </c>
      <c r="C21" s="37">
        <v>0.0</v>
      </c>
      <c r="D21" s="37">
        <v>0.0</v>
      </c>
      <c r="J21" s="1" t="s">
        <v>42</v>
      </c>
      <c r="M21" s="21"/>
    </row>
    <row r="22">
      <c r="A22" s="1" t="s">
        <v>915</v>
      </c>
      <c r="C22" s="37">
        <v>0.0</v>
      </c>
      <c r="D22" s="1" t="s">
        <v>96</v>
      </c>
      <c r="E22" s="1" t="s">
        <v>132</v>
      </c>
      <c r="F22" s="1" t="s">
        <v>916</v>
      </c>
      <c r="G22" s="1" t="s">
        <v>98</v>
      </c>
      <c r="J22" s="1" t="s">
        <v>28</v>
      </c>
      <c r="M22" s="21"/>
    </row>
    <row r="23">
      <c r="A23" s="1" t="s">
        <v>917</v>
      </c>
      <c r="B23" s="1"/>
      <c r="C23" s="37">
        <v>0.0</v>
      </c>
      <c r="D23" s="1" t="s">
        <v>96</v>
      </c>
      <c r="E23" s="1" t="s">
        <v>132</v>
      </c>
      <c r="G23" s="1" t="s">
        <v>98</v>
      </c>
      <c r="J23" s="1" t="s">
        <v>35</v>
      </c>
      <c r="M23" s="21"/>
    </row>
    <row r="24">
      <c r="A24" s="1" t="s">
        <v>536</v>
      </c>
      <c r="B24" s="1">
        <v>3.0</v>
      </c>
      <c r="C24" s="1">
        <v>0.0</v>
      </c>
      <c r="D24" s="1" t="s">
        <v>112</v>
      </c>
      <c r="E24" s="1" t="s">
        <v>132</v>
      </c>
      <c r="G24" s="1"/>
      <c r="J24" s="1" t="s">
        <v>21</v>
      </c>
      <c r="M24" s="21"/>
    </row>
    <row r="25">
      <c r="A25" s="1" t="s">
        <v>512</v>
      </c>
      <c r="B25" s="1">
        <v>3.0</v>
      </c>
      <c r="C25" s="1">
        <v>0.0</v>
      </c>
      <c r="D25" s="1" t="s">
        <v>112</v>
      </c>
      <c r="E25" s="1" t="s">
        <v>132</v>
      </c>
      <c r="G25" s="1"/>
      <c r="J25" s="1" t="s">
        <v>21</v>
      </c>
      <c r="M25" s="21"/>
    </row>
    <row r="26">
      <c r="A26" s="1" t="s">
        <v>611</v>
      </c>
      <c r="B26" s="1">
        <v>5.0</v>
      </c>
      <c r="C26" s="1">
        <f>15+50</f>
        <v>65</v>
      </c>
      <c r="D26" s="1" t="s">
        <v>96</v>
      </c>
      <c r="E26" s="1" t="s">
        <v>132</v>
      </c>
      <c r="G26" s="1"/>
      <c r="J26" s="1" t="s">
        <v>34</v>
      </c>
      <c r="M26" s="21"/>
    </row>
    <row r="27">
      <c r="A27" s="1" t="s">
        <v>612</v>
      </c>
      <c r="B27" s="1">
        <v>1.0</v>
      </c>
      <c r="C27" s="1">
        <v>0.0</v>
      </c>
      <c r="D27" s="1" t="s">
        <v>112</v>
      </c>
      <c r="E27" s="1" t="s">
        <v>105</v>
      </c>
      <c r="G27" s="1"/>
      <c r="J27" s="1" t="s">
        <v>18</v>
      </c>
      <c r="M27" s="21"/>
    </row>
    <row r="28">
      <c r="A28" s="1" t="s">
        <v>932</v>
      </c>
      <c r="B28" s="1">
        <v>1.0</v>
      </c>
      <c r="C28" s="1">
        <v>136.66</v>
      </c>
      <c r="D28" s="1" t="s">
        <v>112</v>
      </c>
      <c r="E28" s="1" t="s">
        <v>105</v>
      </c>
      <c r="G28" s="1"/>
      <c r="J28" s="1" t="s">
        <v>42</v>
      </c>
      <c r="K28" s="42">
        <v>44988.0</v>
      </c>
      <c r="M28" s="21"/>
    </row>
    <row r="29">
      <c r="A29" s="1" t="s">
        <v>154</v>
      </c>
      <c r="B29" s="1">
        <v>2.0</v>
      </c>
      <c r="C29" s="1">
        <v>4.0</v>
      </c>
      <c r="D29" s="1" t="s">
        <v>96</v>
      </c>
      <c r="E29" s="1" t="s">
        <v>105</v>
      </c>
      <c r="J29" s="1" t="s">
        <v>29</v>
      </c>
      <c r="M29" s="21"/>
    </row>
    <row r="30">
      <c r="A30" s="1" t="s">
        <v>933</v>
      </c>
      <c r="B30" s="1">
        <v>3.0</v>
      </c>
      <c r="C30" s="1">
        <v>0.0</v>
      </c>
      <c r="D30" s="1" t="s">
        <v>96</v>
      </c>
      <c r="E30" s="1" t="s">
        <v>105</v>
      </c>
      <c r="G30" s="1"/>
      <c r="J30" s="1" t="s">
        <v>23</v>
      </c>
      <c r="M30" s="21"/>
    </row>
    <row r="31">
      <c r="A31" s="1" t="s">
        <v>282</v>
      </c>
      <c r="B31" s="1">
        <v>3.0</v>
      </c>
      <c r="C31" s="1">
        <v>58.32</v>
      </c>
      <c r="D31" s="1" t="s">
        <v>96</v>
      </c>
      <c r="E31" s="1" t="s">
        <v>105</v>
      </c>
      <c r="G31" s="1"/>
      <c r="J31" s="1" t="s">
        <v>35</v>
      </c>
      <c r="M31" s="21"/>
    </row>
    <row r="32">
      <c r="A32" s="1" t="s">
        <v>934</v>
      </c>
      <c r="B32" s="1">
        <v>3.0</v>
      </c>
      <c r="C32" s="1">
        <v>90.0</v>
      </c>
      <c r="D32" s="1" t="s">
        <v>96</v>
      </c>
      <c r="E32" s="1" t="s">
        <v>105</v>
      </c>
      <c r="G32" s="1"/>
      <c r="J32" s="1" t="s">
        <v>25</v>
      </c>
      <c r="M32" s="21"/>
    </row>
    <row r="33">
      <c r="A33" s="1" t="s">
        <v>935</v>
      </c>
      <c r="B33" s="1">
        <v>5.0</v>
      </c>
      <c r="C33" s="1">
        <v>43.0</v>
      </c>
      <c r="D33" s="1" t="s">
        <v>96</v>
      </c>
      <c r="E33" s="1" t="s">
        <v>105</v>
      </c>
      <c r="G33" s="1"/>
      <c r="J33" s="1" t="s">
        <v>35</v>
      </c>
      <c r="M33" s="21"/>
    </row>
    <row r="34">
      <c r="A34" s="1" t="s">
        <v>936</v>
      </c>
      <c r="B34" s="1">
        <v>6.0</v>
      </c>
      <c r="C34" s="1">
        <v>16.0</v>
      </c>
      <c r="D34" s="1" t="s">
        <v>96</v>
      </c>
      <c r="E34" s="1" t="s">
        <v>117</v>
      </c>
      <c r="G34" s="1"/>
      <c r="J34" s="1" t="s">
        <v>42</v>
      </c>
      <c r="M34" s="21"/>
    </row>
    <row r="35">
      <c r="A35" s="1" t="s">
        <v>154</v>
      </c>
      <c r="B35" s="1">
        <v>6.0</v>
      </c>
      <c r="C35" s="1">
        <v>4.0</v>
      </c>
      <c r="D35" s="1" t="s">
        <v>96</v>
      </c>
      <c r="E35" s="1" t="s">
        <v>117</v>
      </c>
      <c r="G35" s="1"/>
      <c r="J35" s="1" t="s">
        <v>39</v>
      </c>
      <c r="M35" s="21"/>
    </row>
    <row r="36">
      <c r="A36" s="1" t="s">
        <v>937</v>
      </c>
      <c r="B36" s="1">
        <v>7.0</v>
      </c>
      <c r="C36" s="1">
        <v>20.0</v>
      </c>
      <c r="D36" s="1" t="s">
        <v>96</v>
      </c>
      <c r="E36" s="1" t="s">
        <v>117</v>
      </c>
      <c r="G36" s="1"/>
      <c r="J36" s="1" t="s">
        <v>18</v>
      </c>
      <c r="M36" s="21"/>
    </row>
    <row r="37">
      <c r="A37" s="1" t="s">
        <v>938</v>
      </c>
      <c r="B37" s="1">
        <v>7.0</v>
      </c>
      <c r="C37" s="1">
        <v>17.0</v>
      </c>
      <c r="D37" s="1" t="s">
        <v>96</v>
      </c>
      <c r="E37" s="1" t="s">
        <v>117</v>
      </c>
      <c r="G37" s="1"/>
      <c r="J37" s="1" t="s">
        <v>34</v>
      </c>
      <c r="M37" s="21"/>
    </row>
    <row r="38">
      <c r="A38" s="1" t="s">
        <v>939</v>
      </c>
      <c r="B38" s="1">
        <v>7.0</v>
      </c>
      <c r="C38" s="1">
        <v>18.0</v>
      </c>
      <c r="D38" s="1" t="s">
        <v>96</v>
      </c>
      <c r="E38" s="1" t="s">
        <v>117</v>
      </c>
      <c r="G38" s="1"/>
      <c r="J38" s="1" t="s">
        <v>34</v>
      </c>
      <c r="M38" s="21"/>
    </row>
    <row r="39">
      <c r="A39" s="1" t="s">
        <v>161</v>
      </c>
      <c r="B39" s="1">
        <v>8.0</v>
      </c>
      <c r="C39" s="1">
        <v>158.35</v>
      </c>
      <c r="D39" s="1" t="s">
        <v>96</v>
      </c>
      <c r="E39" s="1" t="s">
        <v>117</v>
      </c>
      <c r="G39" s="1"/>
      <c r="J39" s="1" t="s">
        <v>29</v>
      </c>
      <c r="M39" s="21"/>
    </row>
    <row r="40">
      <c r="A40" s="1" t="s">
        <v>940</v>
      </c>
      <c r="B40" s="1">
        <v>8.0</v>
      </c>
      <c r="C40" s="1">
        <v>0.0</v>
      </c>
      <c r="D40" s="1" t="s">
        <v>96</v>
      </c>
      <c r="E40" s="1" t="s">
        <v>117</v>
      </c>
      <c r="G40" s="1"/>
      <c r="J40" s="1" t="s">
        <v>23</v>
      </c>
      <c r="M40" s="21"/>
    </row>
    <row r="41">
      <c r="A41" s="1" t="s">
        <v>467</v>
      </c>
      <c r="B41" s="1">
        <v>8.0</v>
      </c>
      <c r="C41" s="1">
        <v>48.27</v>
      </c>
      <c r="D41" s="1" t="s">
        <v>96</v>
      </c>
      <c r="E41" s="1" t="s">
        <v>117</v>
      </c>
      <c r="G41" s="1"/>
      <c r="J41" s="1" t="s">
        <v>18</v>
      </c>
      <c r="M41" s="21"/>
    </row>
    <row r="42">
      <c r="A42" s="1" t="s">
        <v>516</v>
      </c>
      <c r="B42" s="1">
        <v>10.0</v>
      </c>
      <c r="C42" s="1">
        <v>34.96</v>
      </c>
      <c r="D42" s="1" t="s">
        <v>96</v>
      </c>
      <c r="E42" s="1" t="s">
        <v>117</v>
      </c>
      <c r="G42" s="1"/>
      <c r="J42" s="1" t="s">
        <v>25</v>
      </c>
      <c r="M42" s="21"/>
    </row>
    <row r="43">
      <c r="A43" s="1" t="s">
        <v>941</v>
      </c>
      <c r="B43" s="1">
        <v>10.0</v>
      </c>
      <c r="C43" s="1">
        <v>45.5</v>
      </c>
      <c r="D43" s="1" t="s">
        <v>96</v>
      </c>
      <c r="E43" s="1" t="s">
        <v>117</v>
      </c>
      <c r="G43" s="1"/>
      <c r="J43" s="1" t="s">
        <v>41</v>
      </c>
      <c r="M43" s="2"/>
    </row>
    <row r="44">
      <c r="A44" s="1" t="s">
        <v>39</v>
      </c>
      <c r="B44" s="1">
        <v>10.0</v>
      </c>
      <c r="C44" s="1">
        <v>4.0</v>
      </c>
      <c r="D44" s="1" t="s">
        <v>96</v>
      </c>
      <c r="E44" s="1" t="s">
        <v>117</v>
      </c>
      <c r="G44" s="1"/>
      <c r="J44" s="1" t="s">
        <v>39</v>
      </c>
      <c r="M44" s="21"/>
    </row>
    <row r="45">
      <c r="A45" s="1" t="s">
        <v>942</v>
      </c>
      <c r="B45" s="1">
        <v>10.0</v>
      </c>
      <c r="C45" s="1">
        <v>23.8</v>
      </c>
      <c r="D45" s="1" t="s">
        <v>96</v>
      </c>
      <c r="E45" s="1" t="s">
        <v>117</v>
      </c>
      <c r="G45" s="1"/>
      <c r="J45" s="1" t="s">
        <v>35</v>
      </c>
      <c r="M45" s="21"/>
    </row>
    <row r="46">
      <c r="A46" s="1" t="s">
        <v>483</v>
      </c>
      <c r="B46" s="1">
        <v>11.0</v>
      </c>
      <c r="C46" s="1">
        <v>156.37</v>
      </c>
      <c r="D46" s="1" t="s">
        <v>96</v>
      </c>
      <c r="E46" s="1" t="s">
        <v>117</v>
      </c>
      <c r="G46" s="1"/>
      <c r="J46" s="1" t="s">
        <v>29</v>
      </c>
      <c r="M46" s="21"/>
    </row>
    <row r="47">
      <c r="A47" s="1" t="s">
        <v>152</v>
      </c>
      <c r="B47" s="1">
        <v>11.0</v>
      </c>
      <c r="C47" s="1">
        <v>27.75</v>
      </c>
      <c r="D47" s="1" t="s">
        <v>96</v>
      </c>
      <c r="E47" s="1" t="s">
        <v>117</v>
      </c>
      <c r="G47" s="1"/>
      <c r="J47" s="1" t="s">
        <v>28</v>
      </c>
      <c r="M47" s="21"/>
    </row>
    <row r="48">
      <c r="A48" s="1" t="s">
        <v>39</v>
      </c>
      <c r="B48" s="1">
        <v>12.0</v>
      </c>
      <c r="C48" s="1">
        <v>4.0</v>
      </c>
      <c r="D48" s="1" t="s">
        <v>96</v>
      </c>
      <c r="E48" s="1" t="s">
        <v>117</v>
      </c>
      <c r="G48" s="1"/>
      <c r="J48" s="1" t="s">
        <v>39</v>
      </c>
      <c r="M48" s="21"/>
    </row>
    <row r="49">
      <c r="A49" s="1" t="s">
        <v>943</v>
      </c>
      <c r="B49" s="1">
        <v>14.0</v>
      </c>
      <c r="C49" s="1">
        <v>62.0</v>
      </c>
      <c r="D49" s="1" t="s">
        <v>96</v>
      </c>
      <c r="E49" s="1" t="s">
        <v>117</v>
      </c>
      <c r="G49" s="1"/>
      <c r="J49" s="1" t="s">
        <v>34</v>
      </c>
      <c r="M49" s="21"/>
    </row>
    <row r="50">
      <c r="A50" s="1" t="s">
        <v>944</v>
      </c>
      <c r="B50" s="1">
        <v>14.0</v>
      </c>
      <c r="C50" s="1">
        <v>14.9</v>
      </c>
      <c r="D50" s="1" t="s">
        <v>96</v>
      </c>
      <c r="E50" s="1" t="s">
        <v>117</v>
      </c>
      <c r="G50" s="1"/>
      <c r="J50" s="1" t="s">
        <v>34</v>
      </c>
      <c r="M50" s="21"/>
    </row>
    <row r="51">
      <c r="A51" s="1" t="s">
        <v>154</v>
      </c>
      <c r="B51" s="1">
        <v>14.0</v>
      </c>
      <c r="C51" s="1">
        <v>4.0</v>
      </c>
      <c r="D51" s="1" t="s">
        <v>96</v>
      </c>
      <c r="E51" s="1" t="s">
        <v>117</v>
      </c>
      <c r="G51" s="1"/>
      <c r="J51" s="1" t="s">
        <v>39</v>
      </c>
      <c r="M51" s="21"/>
    </row>
    <row r="52">
      <c r="A52" s="1" t="s">
        <v>945</v>
      </c>
      <c r="B52" s="1">
        <v>16.0</v>
      </c>
      <c r="C52" s="1">
        <v>347.9</v>
      </c>
      <c r="D52" s="1" t="s">
        <v>96</v>
      </c>
      <c r="E52" s="1" t="s">
        <v>117</v>
      </c>
      <c r="G52" s="1"/>
      <c r="J52" s="1" t="s">
        <v>28</v>
      </c>
      <c r="M52" s="21"/>
    </row>
    <row r="53">
      <c r="A53" s="1" t="s">
        <v>946</v>
      </c>
      <c r="B53" s="1">
        <v>21.0</v>
      </c>
      <c r="C53" s="1">
        <v>725.0</v>
      </c>
      <c r="D53" s="1" t="s">
        <v>96</v>
      </c>
      <c r="E53" s="1" t="s">
        <v>117</v>
      </c>
      <c r="G53" s="1"/>
      <c r="J53" s="1" t="s">
        <v>28</v>
      </c>
      <c r="M53" s="21"/>
    </row>
    <row r="54">
      <c r="A54" s="1" t="s">
        <v>947</v>
      </c>
      <c r="B54" s="1">
        <v>13.0</v>
      </c>
      <c r="C54" s="1">
        <v>26.8</v>
      </c>
      <c r="D54" s="1" t="s">
        <v>96</v>
      </c>
      <c r="E54" s="1" t="s">
        <v>133</v>
      </c>
      <c r="G54" s="1"/>
      <c r="J54" s="1" t="s">
        <v>34</v>
      </c>
      <c r="M54" s="21"/>
    </row>
    <row r="55">
      <c r="A55" s="1" t="s">
        <v>948</v>
      </c>
      <c r="B55" s="1">
        <v>13.0</v>
      </c>
      <c r="C55" s="1">
        <v>444.95</v>
      </c>
      <c r="D55" s="1" t="s">
        <v>96</v>
      </c>
      <c r="E55" s="1" t="s">
        <v>133</v>
      </c>
      <c r="G55" s="1"/>
      <c r="J55" s="1" t="s">
        <v>34</v>
      </c>
      <c r="M55" s="21"/>
    </row>
    <row r="56">
      <c r="A56" s="1" t="s">
        <v>467</v>
      </c>
      <c r="B56" s="1">
        <v>13.0</v>
      </c>
      <c r="C56" s="1">
        <v>62.24</v>
      </c>
      <c r="D56" s="1" t="s">
        <v>96</v>
      </c>
      <c r="E56" s="1" t="s">
        <v>133</v>
      </c>
      <c r="G56" s="1"/>
      <c r="J56" s="1" t="s">
        <v>18</v>
      </c>
      <c r="M56" s="21"/>
    </row>
    <row r="57">
      <c r="A57" s="1" t="s">
        <v>161</v>
      </c>
      <c r="B57" s="1">
        <v>14.0</v>
      </c>
      <c r="C57" s="1">
        <v>117.16</v>
      </c>
      <c r="D57" s="1" t="s">
        <v>96</v>
      </c>
      <c r="E57" s="1" t="s">
        <v>133</v>
      </c>
      <c r="G57" s="1"/>
      <c r="J57" s="1" t="s">
        <v>29</v>
      </c>
      <c r="M57" s="21"/>
    </row>
    <row r="58">
      <c r="A58" s="1" t="s">
        <v>154</v>
      </c>
      <c r="B58" s="1">
        <v>15.0</v>
      </c>
      <c r="C58" s="1">
        <v>9.0</v>
      </c>
      <c r="D58" s="1" t="s">
        <v>96</v>
      </c>
      <c r="E58" s="1" t="s">
        <v>133</v>
      </c>
      <c r="G58" s="1"/>
      <c r="J58" s="1" t="s">
        <v>39</v>
      </c>
      <c r="M58" s="21"/>
    </row>
    <row r="59">
      <c r="A59" s="1" t="s">
        <v>949</v>
      </c>
      <c r="B59" s="1">
        <v>15.0</v>
      </c>
      <c r="C59" s="1">
        <v>8.6</v>
      </c>
      <c r="D59" s="1"/>
      <c r="E59" s="1" t="s">
        <v>133</v>
      </c>
      <c r="G59" s="1"/>
      <c r="J59" s="1" t="s">
        <v>24</v>
      </c>
      <c r="M59" s="21"/>
    </row>
    <row r="60">
      <c r="A60" s="1" t="s">
        <v>950</v>
      </c>
      <c r="B60" s="1">
        <v>15.0</v>
      </c>
      <c r="C60" s="1">
        <v>43.82</v>
      </c>
      <c r="D60" s="1" t="s">
        <v>96</v>
      </c>
      <c r="E60" s="1" t="s">
        <v>133</v>
      </c>
      <c r="G60" s="1"/>
      <c r="J60" s="1" t="s">
        <v>18</v>
      </c>
      <c r="M60" s="21"/>
    </row>
    <row r="61">
      <c r="A61" s="1" t="s">
        <v>154</v>
      </c>
      <c r="B61" s="1">
        <v>17.0</v>
      </c>
      <c r="C61" s="1">
        <v>4.0</v>
      </c>
      <c r="D61" s="1" t="s">
        <v>96</v>
      </c>
      <c r="E61" s="1" t="s">
        <v>133</v>
      </c>
      <c r="G61" s="1"/>
      <c r="J61" s="1" t="s">
        <v>39</v>
      </c>
      <c r="M61" s="21"/>
    </row>
    <row r="62">
      <c r="A62" s="1" t="s">
        <v>828</v>
      </c>
      <c r="B62" s="1">
        <v>17.0</v>
      </c>
      <c r="C62" s="1">
        <v>31.9</v>
      </c>
      <c r="D62" s="1" t="s">
        <v>96</v>
      </c>
      <c r="E62" s="1" t="s">
        <v>133</v>
      </c>
      <c r="G62" s="1"/>
      <c r="J62" s="1" t="s">
        <v>28</v>
      </c>
      <c r="M62" s="21"/>
    </row>
    <row r="63">
      <c r="A63" s="1" t="s">
        <v>951</v>
      </c>
      <c r="B63" s="1">
        <v>18.0</v>
      </c>
      <c r="C63" s="1">
        <v>7.0</v>
      </c>
      <c r="D63" s="1" t="s">
        <v>96</v>
      </c>
      <c r="E63" s="1" t="s">
        <v>133</v>
      </c>
      <c r="G63" s="1"/>
      <c r="J63" s="1" t="s">
        <v>34</v>
      </c>
      <c r="M63" s="21"/>
    </row>
    <row r="64">
      <c r="A64" s="1" t="s">
        <v>952</v>
      </c>
      <c r="B64" s="1">
        <v>19.0</v>
      </c>
      <c r="C64" s="1">
        <v>441.02</v>
      </c>
      <c r="D64" s="1" t="s">
        <v>96</v>
      </c>
      <c r="E64" s="1" t="s">
        <v>133</v>
      </c>
      <c r="G64" s="1"/>
      <c r="J64" s="1" t="s">
        <v>29</v>
      </c>
      <c r="M64" s="21"/>
    </row>
    <row r="65">
      <c r="A65" s="1" t="s">
        <v>263</v>
      </c>
      <c r="B65" s="1">
        <v>19.0</v>
      </c>
      <c r="C65" s="1">
        <v>34.35</v>
      </c>
      <c r="D65" s="1" t="s">
        <v>96</v>
      </c>
      <c r="E65" s="1" t="s">
        <v>133</v>
      </c>
      <c r="G65" s="1"/>
      <c r="J65" s="1" t="s">
        <v>28</v>
      </c>
      <c r="M65" s="21"/>
    </row>
    <row r="66">
      <c r="A66" s="1" t="s">
        <v>809</v>
      </c>
      <c r="B66" s="1">
        <v>22.0</v>
      </c>
      <c r="C66" s="1">
        <v>40.04</v>
      </c>
      <c r="D66" s="1" t="s">
        <v>96</v>
      </c>
      <c r="E66" s="1" t="s">
        <v>133</v>
      </c>
      <c r="G66" s="1"/>
      <c r="J66" s="1" t="s">
        <v>18</v>
      </c>
      <c r="M66" s="21"/>
    </row>
    <row r="67">
      <c r="A67" s="1" t="s">
        <v>449</v>
      </c>
      <c r="B67" s="1">
        <v>24.0</v>
      </c>
      <c r="C67" s="1">
        <v>162.15</v>
      </c>
      <c r="D67" s="1" t="s">
        <v>96</v>
      </c>
      <c r="E67" s="1" t="s">
        <v>117</v>
      </c>
      <c r="G67" s="1"/>
      <c r="J67" s="1" t="s">
        <v>33</v>
      </c>
      <c r="M67" s="21"/>
    </row>
    <row r="68">
      <c r="A68" s="1" t="s">
        <v>449</v>
      </c>
      <c r="B68" s="1">
        <v>24.0</v>
      </c>
      <c r="C68" s="1">
        <v>64.18</v>
      </c>
      <c r="D68" s="1" t="s">
        <v>96</v>
      </c>
      <c r="E68" s="1" t="s">
        <v>117</v>
      </c>
      <c r="G68" s="1"/>
      <c r="J68" s="1" t="s">
        <v>33</v>
      </c>
      <c r="M68" s="21"/>
    </row>
    <row r="69">
      <c r="A69" s="1" t="s">
        <v>953</v>
      </c>
      <c r="B69" s="1">
        <v>22.0</v>
      </c>
      <c r="C69" s="1">
        <v>16.0</v>
      </c>
      <c r="D69" s="1" t="s">
        <v>96</v>
      </c>
      <c r="E69" s="1" t="s">
        <v>133</v>
      </c>
      <c r="G69" s="1"/>
      <c r="J69" s="1" t="s">
        <v>42</v>
      </c>
      <c r="M69" s="21"/>
    </row>
    <row r="70">
      <c r="A70" s="1" t="s">
        <v>165</v>
      </c>
      <c r="B70" s="1">
        <v>23.0</v>
      </c>
      <c r="C70" s="1">
        <v>161.06</v>
      </c>
      <c r="D70" s="1" t="s">
        <v>96</v>
      </c>
      <c r="E70" s="1" t="s">
        <v>133</v>
      </c>
      <c r="G70" s="1"/>
      <c r="J70" s="1" t="s">
        <v>29</v>
      </c>
      <c r="M70" s="21"/>
    </row>
    <row r="71">
      <c r="A71" s="1" t="s">
        <v>954</v>
      </c>
      <c r="B71" s="1">
        <v>24.0</v>
      </c>
      <c r="C71" s="1">
        <v>30.0</v>
      </c>
      <c r="D71" s="1" t="s">
        <v>96</v>
      </c>
      <c r="E71" s="1" t="s">
        <v>133</v>
      </c>
      <c r="G71" s="1"/>
      <c r="J71" s="1" t="s">
        <v>18</v>
      </c>
      <c r="M71" s="21"/>
    </row>
    <row r="72">
      <c r="A72" s="1" t="s">
        <v>918</v>
      </c>
      <c r="B72" s="1">
        <v>24.0</v>
      </c>
      <c r="C72" s="1">
        <v>100.0</v>
      </c>
      <c r="D72" s="1" t="s">
        <v>96</v>
      </c>
      <c r="E72" s="1" t="s">
        <v>133</v>
      </c>
      <c r="J72" s="1" t="s">
        <v>32</v>
      </c>
      <c r="K72" s="42">
        <v>44986.0</v>
      </c>
      <c r="M72" s="21"/>
      <c r="N72" s="42">
        <v>44986.0</v>
      </c>
    </row>
    <row r="73">
      <c r="A73" s="1" t="s">
        <v>903</v>
      </c>
      <c r="B73" s="1">
        <v>25.0</v>
      </c>
      <c r="C73" s="1">
        <v>13.6</v>
      </c>
      <c r="D73" s="1" t="s">
        <v>96</v>
      </c>
      <c r="E73" s="1" t="s">
        <v>133</v>
      </c>
      <c r="J73" s="1" t="s">
        <v>24</v>
      </c>
      <c r="M73" s="21"/>
    </row>
    <row r="74">
      <c r="A74" s="1" t="s">
        <v>233</v>
      </c>
      <c r="B74" s="1">
        <v>26.0</v>
      </c>
      <c r="C74" s="1">
        <v>172.97</v>
      </c>
      <c r="D74" s="1" t="s">
        <v>96</v>
      </c>
      <c r="E74" s="1" t="s">
        <v>133</v>
      </c>
      <c r="J74" s="1" t="s">
        <v>28</v>
      </c>
      <c r="M74" s="21"/>
    </row>
    <row r="75">
      <c r="A75" s="1" t="s">
        <v>952</v>
      </c>
      <c r="B75" s="1">
        <v>26.0</v>
      </c>
      <c r="C75" s="1">
        <v>113.86</v>
      </c>
      <c r="D75" s="1" t="s">
        <v>96</v>
      </c>
      <c r="E75" s="1" t="s">
        <v>133</v>
      </c>
      <c r="J75" s="1" t="s">
        <v>29</v>
      </c>
      <c r="M75" s="21"/>
    </row>
    <row r="76">
      <c r="A76" s="1" t="s">
        <v>955</v>
      </c>
      <c r="B76" s="1">
        <v>26.0</v>
      </c>
      <c r="C76" s="1">
        <v>44.86</v>
      </c>
      <c r="D76" s="1" t="s">
        <v>96</v>
      </c>
      <c r="E76" s="1" t="s">
        <v>133</v>
      </c>
      <c r="J76" s="1" t="s">
        <v>18</v>
      </c>
      <c r="M76" s="21"/>
    </row>
    <row r="77">
      <c r="A77" s="1" t="s">
        <v>154</v>
      </c>
      <c r="B77" s="1">
        <v>27.0</v>
      </c>
      <c r="C77" s="1">
        <v>9.0</v>
      </c>
      <c r="D77" s="1" t="s">
        <v>96</v>
      </c>
      <c r="E77" s="1" t="s">
        <v>133</v>
      </c>
      <c r="J77" s="1" t="s">
        <v>28</v>
      </c>
      <c r="M77" s="21"/>
    </row>
    <row r="78">
      <c r="A78" s="1" t="s">
        <v>309</v>
      </c>
      <c r="B78" s="1">
        <v>21.0</v>
      </c>
      <c r="C78" s="1">
        <v>-725.0</v>
      </c>
      <c r="D78" s="1" t="s">
        <v>96</v>
      </c>
      <c r="E78" s="1" t="s">
        <v>156</v>
      </c>
      <c r="J78" s="1" t="s">
        <v>28</v>
      </c>
      <c r="M78" s="21"/>
    </row>
    <row r="79">
      <c r="A79" s="1" t="s">
        <v>51</v>
      </c>
      <c r="B79" s="1">
        <v>21.0</v>
      </c>
      <c r="C79" s="1">
        <v>0.0</v>
      </c>
      <c r="D79" s="1" t="s">
        <v>96</v>
      </c>
      <c r="E79" s="1" t="s">
        <v>117</v>
      </c>
      <c r="J79" s="1" t="s">
        <v>43</v>
      </c>
      <c r="M79" s="21"/>
    </row>
    <row r="80">
      <c r="A80" s="1" t="s">
        <v>51</v>
      </c>
      <c r="B80" s="1">
        <v>21.0</v>
      </c>
      <c r="C80" s="1">
        <v>0.0</v>
      </c>
      <c r="D80" s="1" t="s">
        <v>96</v>
      </c>
      <c r="E80" s="1" t="s">
        <v>117</v>
      </c>
      <c r="J80" s="1" t="s">
        <v>43</v>
      </c>
      <c r="M80" s="21"/>
    </row>
    <row r="81">
      <c r="A81" s="1" t="s">
        <v>51</v>
      </c>
      <c r="B81" s="1">
        <v>21.0</v>
      </c>
      <c r="C81" s="1">
        <v>0.0</v>
      </c>
      <c r="D81" s="1" t="s">
        <v>96</v>
      </c>
      <c r="E81" s="1" t="s">
        <v>117</v>
      </c>
      <c r="J81" s="1" t="s">
        <v>43</v>
      </c>
      <c r="M81" s="21"/>
    </row>
    <row r="82">
      <c r="A82" s="1" t="s">
        <v>51</v>
      </c>
      <c r="B82" s="1">
        <v>21.0</v>
      </c>
      <c r="C82" s="1">
        <v>0.0</v>
      </c>
      <c r="D82" s="1" t="s">
        <v>96</v>
      </c>
      <c r="E82" s="1" t="s">
        <v>117</v>
      </c>
      <c r="J82" s="1" t="s">
        <v>43</v>
      </c>
      <c r="M82" s="21"/>
    </row>
    <row r="83">
      <c r="A83" s="1" t="s">
        <v>51</v>
      </c>
      <c r="B83" s="1">
        <v>21.0</v>
      </c>
      <c r="C83" s="1">
        <v>0.0</v>
      </c>
      <c r="D83" s="1" t="s">
        <v>96</v>
      </c>
      <c r="E83" s="1" t="s">
        <v>117</v>
      </c>
      <c r="J83" s="1" t="s">
        <v>43</v>
      </c>
      <c r="M83" s="21"/>
    </row>
    <row r="84">
      <c r="A84" s="1" t="s">
        <v>51</v>
      </c>
      <c r="B84" s="1">
        <v>21.0</v>
      </c>
      <c r="C84" s="1">
        <v>0.0</v>
      </c>
      <c r="D84" s="1" t="s">
        <v>96</v>
      </c>
      <c r="E84" s="1" t="s">
        <v>117</v>
      </c>
      <c r="J84" s="1" t="s">
        <v>43</v>
      </c>
      <c r="M84" s="21"/>
    </row>
    <row r="85">
      <c r="A85" s="1" t="s">
        <v>51</v>
      </c>
      <c r="B85" s="1">
        <v>21.0</v>
      </c>
      <c r="C85" s="1">
        <v>0.0</v>
      </c>
      <c r="D85" s="1" t="s">
        <v>96</v>
      </c>
      <c r="E85" s="1" t="s">
        <v>117</v>
      </c>
      <c r="J85" s="1" t="s">
        <v>43</v>
      </c>
      <c r="M85" s="21"/>
    </row>
    <row r="86">
      <c r="A86" s="1" t="s">
        <v>51</v>
      </c>
      <c r="B86" s="1">
        <v>22.0</v>
      </c>
      <c r="C86" s="1">
        <v>0.0</v>
      </c>
      <c r="D86" s="1" t="s">
        <v>96</v>
      </c>
      <c r="E86" s="1" t="s">
        <v>117</v>
      </c>
      <c r="J86" s="1" t="s">
        <v>43</v>
      </c>
      <c r="M86" s="21"/>
    </row>
    <row r="87">
      <c r="A87" s="1" t="s">
        <v>51</v>
      </c>
      <c r="B87" s="1">
        <v>22.0</v>
      </c>
      <c r="C87" s="1">
        <v>0.0</v>
      </c>
      <c r="D87" s="1" t="s">
        <v>96</v>
      </c>
      <c r="E87" s="1" t="s">
        <v>117</v>
      </c>
      <c r="J87" s="1" t="s">
        <v>29</v>
      </c>
      <c r="M87" s="21"/>
    </row>
    <row r="88">
      <c r="A88" s="1" t="s">
        <v>51</v>
      </c>
      <c r="B88" s="1">
        <v>23.0</v>
      </c>
      <c r="C88" s="1">
        <v>0.0</v>
      </c>
      <c r="D88" s="1" t="s">
        <v>96</v>
      </c>
      <c r="E88" s="1" t="s">
        <v>117</v>
      </c>
      <c r="J88" s="1" t="s">
        <v>28</v>
      </c>
      <c r="M88" s="21"/>
    </row>
    <row r="89">
      <c r="A89" s="1" t="s">
        <v>51</v>
      </c>
      <c r="B89" s="1">
        <v>23.0</v>
      </c>
      <c r="C89" s="1">
        <v>0.0</v>
      </c>
      <c r="D89" s="1" t="s">
        <v>96</v>
      </c>
      <c r="E89" s="1" t="s">
        <v>117</v>
      </c>
      <c r="J89" s="1" t="s">
        <v>28</v>
      </c>
      <c r="M89" s="21"/>
    </row>
    <row r="90">
      <c r="A90" s="1" t="s">
        <v>51</v>
      </c>
      <c r="B90" s="1">
        <v>23.0</v>
      </c>
      <c r="C90" s="1">
        <v>0.0</v>
      </c>
      <c r="D90" s="1" t="s">
        <v>96</v>
      </c>
      <c r="E90" s="1" t="s">
        <v>117</v>
      </c>
      <c r="J90" s="1" t="s">
        <v>28</v>
      </c>
      <c r="M90" s="21"/>
    </row>
    <row r="91">
      <c r="A91" s="1" t="s">
        <v>51</v>
      </c>
      <c r="B91" s="1">
        <v>23.0</v>
      </c>
      <c r="C91" s="1">
        <v>0.0</v>
      </c>
      <c r="D91" s="1" t="s">
        <v>96</v>
      </c>
      <c r="E91" s="1" t="s">
        <v>117</v>
      </c>
      <c r="J91" s="1" t="s">
        <v>28</v>
      </c>
      <c r="M91" s="21"/>
    </row>
    <row r="92">
      <c r="A92" s="1"/>
      <c r="J92" s="14"/>
      <c r="M92" s="21"/>
    </row>
    <row r="93">
      <c r="A93" s="1"/>
      <c r="J93" s="14"/>
      <c r="M93" s="21"/>
    </row>
    <row r="94">
      <c r="A94" s="1"/>
      <c r="J94" s="14"/>
      <c r="M94" s="21"/>
    </row>
    <row r="95">
      <c r="A95" s="1"/>
      <c r="J95" s="14"/>
      <c r="M95" s="21"/>
    </row>
    <row r="96">
      <c r="A96" s="1"/>
      <c r="J96" s="14"/>
      <c r="M96" s="21"/>
    </row>
    <row r="97">
      <c r="A97" s="1"/>
      <c r="J97" s="14"/>
      <c r="M97" s="21"/>
    </row>
    <row r="98">
      <c r="A98" s="1"/>
      <c r="J98" s="14"/>
      <c r="M98" s="21"/>
    </row>
    <row r="99">
      <c r="A99" s="1"/>
      <c r="J99" s="14"/>
      <c r="M99" s="21"/>
    </row>
    <row r="100">
      <c r="A100" s="1"/>
      <c r="J100" s="14"/>
      <c r="M100" s="21"/>
    </row>
    <row r="101">
      <c r="A101" s="1"/>
      <c r="J101" s="14"/>
      <c r="M101" s="21"/>
    </row>
    <row r="102">
      <c r="A102" s="1"/>
      <c r="J102" s="14"/>
      <c r="M102" s="21"/>
    </row>
    <row r="103">
      <c r="A103" s="1"/>
      <c r="J103" s="14"/>
      <c r="M103" s="21"/>
    </row>
    <row r="104">
      <c r="A104" s="1" t="s">
        <v>236</v>
      </c>
      <c r="C104" s="14">
        <f>8892.96*0.3-(633.9)</f>
        <v>2033.988</v>
      </c>
      <c r="M104" s="21"/>
    </row>
    <row r="105">
      <c r="A105" s="1" t="s">
        <v>50</v>
      </c>
      <c r="C105" s="8">
        <f>SUM(C2:C103)</f>
        <v>6681.1164</v>
      </c>
      <c r="D105" s="8">
        <f>8968.96-C105-C104</f>
        <v>253.8556</v>
      </c>
      <c r="M105" s="21"/>
    </row>
    <row r="106">
      <c r="M106" s="21"/>
    </row>
    <row r="107">
      <c r="M107" s="21"/>
    </row>
    <row r="108">
      <c r="M108" s="21"/>
    </row>
    <row r="109">
      <c r="M109" s="21"/>
    </row>
    <row r="110">
      <c r="M110" s="21"/>
    </row>
    <row r="111">
      <c r="M111" s="21"/>
    </row>
    <row r="112">
      <c r="M112" s="21"/>
    </row>
    <row r="113">
      <c r="M113" s="21"/>
    </row>
    <row r="114">
      <c r="M114" s="21"/>
    </row>
    <row r="115">
      <c r="M115" s="21"/>
    </row>
    <row r="116">
      <c r="M116" s="21"/>
    </row>
    <row r="117">
      <c r="M117" s="21"/>
    </row>
    <row r="118">
      <c r="M118" s="21"/>
    </row>
    <row r="119">
      <c r="M119" s="21"/>
    </row>
    <row r="120">
      <c r="M120" s="21"/>
    </row>
    <row r="121">
      <c r="M121" s="21"/>
    </row>
    <row r="122">
      <c r="M122" s="21"/>
    </row>
    <row r="123">
      <c r="M123" s="21"/>
    </row>
    <row r="124">
      <c r="M124" s="21"/>
    </row>
    <row r="125">
      <c r="M125" s="21"/>
    </row>
    <row r="126">
      <c r="M126" s="21"/>
    </row>
    <row r="127">
      <c r="M127" s="21"/>
    </row>
    <row r="128">
      <c r="M128" s="21"/>
    </row>
    <row r="129">
      <c r="M129" s="21"/>
    </row>
    <row r="130">
      <c r="M130" s="21"/>
    </row>
    <row r="131">
      <c r="M131" s="21"/>
    </row>
    <row r="132">
      <c r="M132" s="2" t="s">
        <v>240</v>
      </c>
    </row>
    <row r="133">
      <c r="M133" s="21"/>
    </row>
    <row r="134">
      <c r="M134" s="21"/>
    </row>
    <row r="135">
      <c r="M135" s="21"/>
    </row>
    <row r="136">
      <c r="M136" s="21"/>
    </row>
    <row r="137">
      <c r="M137" s="21"/>
    </row>
    <row r="138">
      <c r="M138" s="21"/>
    </row>
    <row r="139">
      <c r="M139" s="21"/>
    </row>
    <row r="140">
      <c r="M140" s="21"/>
    </row>
    <row r="141">
      <c r="M141" s="21"/>
    </row>
    <row r="142">
      <c r="M142" s="21"/>
    </row>
    <row r="143">
      <c r="M143" s="21"/>
    </row>
    <row r="144">
      <c r="M144" s="21"/>
    </row>
    <row r="145">
      <c r="M145" s="21"/>
    </row>
    <row r="146">
      <c r="M146" s="21"/>
    </row>
    <row r="147">
      <c r="M147" s="21"/>
    </row>
    <row r="148">
      <c r="M148" s="21"/>
    </row>
    <row r="149">
      <c r="M149" s="21"/>
    </row>
    <row r="150">
      <c r="M150" s="21"/>
    </row>
    <row r="151">
      <c r="M151" s="21"/>
    </row>
    <row r="152">
      <c r="M152" s="21"/>
    </row>
    <row r="153">
      <c r="M153" s="21"/>
    </row>
    <row r="154">
      <c r="B154" s="14">
        <f>8892-B152</f>
        <v>8892</v>
      </c>
      <c r="M154" s="21"/>
    </row>
    <row r="155">
      <c r="M155" s="21"/>
    </row>
    <row r="156">
      <c r="M156" s="21"/>
    </row>
    <row r="157">
      <c r="M157" s="21"/>
    </row>
    <row r="158">
      <c r="M158" s="21"/>
    </row>
    <row r="159">
      <c r="M159" s="21"/>
    </row>
    <row r="160">
      <c r="M160" s="21"/>
    </row>
    <row r="161">
      <c r="M161" s="21"/>
    </row>
    <row r="162">
      <c r="M162" s="21"/>
    </row>
    <row r="163">
      <c r="M163" s="21"/>
    </row>
    <row r="164">
      <c r="M164" s="21"/>
    </row>
    <row r="165">
      <c r="M165" s="21"/>
    </row>
    <row r="166">
      <c r="M166" s="21"/>
    </row>
    <row r="167">
      <c r="M167" s="21"/>
    </row>
    <row r="168">
      <c r="M168" s="21"/>
    </row>
    <row r="169">
      <c r="M169" s="21"/>
    </row>
    <row r="170">
      <c r="M170" s="21"/>
    </row>
    <row r="171">
      <c r="M171" s="21"/>
    </row>
    <row r="172">
      <c r="M172" s="21"/>
    </row>
    <row r="173">
      <c r="M173" s="21"/>
    </row>
    <row r="174">
      <c r="M174" s="21"/>
    </row>
    <row r="175">
      <c r="M175" s="21"/>
    </row>
    <row r="176">
      <c r="M176" s="21"/>
    </row>
    <row r="177">
      <c r="M177" s="21"/>
    </row>
    <row r="178">
      <c r="M178" s="21"/>
    </row>
    <row r="179">
      <c r="M179" s="21"/>
    </row>
    <row r="180">
      <c r="M180" s="21"/>
    </row>
    <row r="181">
      <c r="M181" s="21"/>
    </row>
    <row r="182">
      <c r="M182" s="21"/>
    </row>
    <row r="183">
      <c r="M183" s="21"/>
    </row>
    <row r="184">
      <c r="M184" s="21"/>
    </row>
    <row r="185">
      <c r="M185" s="21"/>
    </row>
    <row r="186">
      <c r="M186" s="21"/>
    </row>
    <row r="187">
      <c r="M187" s="21"/>
    </row>
    <row r="188">
      <c r="M188" s="21"/>
    </row>
    <row r="189">
      <c r="M189" s="21"/>
    </row>
    <row r="190">
      <c r="M190" s="21"/>
    </row>
    <row r="191">
      <c r="M191" s="21"/>
    </row>
    <row r="192">
      <c r="M192" s="21"/>
    </row>
    <row r="193">
      <c r="M193" s="21"/>
    </row>
    <row r="194">
      <c r="M194" s="21"/>
    </row>
    <row r="195">
      <c r="M195" s="21"/>
    </row>
    <row r="196">
      <c r="M196" s="21"/>
    </row>
    <row r="197">
      <c r="M197" s="21"/>
    </row>
    <row r="198">
      <c r="M198" s="21"/>
    </row>
    <row r="199">
      <c r="M199" s="21"/>
    </row>
    <row r="200">
      <c r="M200" s="21"/>
    </row>
    <row r="201">
      <c r="M201" s="21"/>
    </row>
    <row r="202">
      <c r="M202" s="21"/>
    </row>
    <row r="203">
      <c r="M203" s="21"/>
    </row>
    <row r="204">
      <c r="M204" s="21"/>
    </row>
    <row r="205">
      <c r="M205" s="21"/>
    </row>
    <row r="206">
      <c r="M206" s="21"/>
    </row>
    <row r="207">
      <c r="M207" s="21"/>
    </row>
    <row r="208">
      <c r="M208" s="21"/>
    </row>
    <row r="209">
      <c r="M209" s="21"/>
    </row>
    <row r="210">
      <c r="M210" s="21"/>
    </row>
    <row r="211">
      <c r="M211" s="21"/>
    </row>
    <row r="212">
      <c r="M212" s="21"/>
    </row>
    <row r="213">
      <c r="M213" s="21"/>
    </row>
    <row r="214">
      <c r="M214" s="21"/>
    </row>
    <row r="215">
      <c r="M215" s="21"/>
    </row>
    <row r="216">
      <c r="M216" s="21"/>
    </row>
    <row r="217">
      <c r="M217" s="21"/>
    </row>
    <row r="218">
      <c r="M218" s="21"/>
    </row>
    <row r="219">
      <c r="M219" s="21"/>
    </row>
    <row r="220">
      <c r="M220" s="21"/>
    </row>
    <row r="221">
      <c r="M221" s="21"/>
    </row>
    <row r="222">
      <c r="M222" s="21"/>
    </row>
    <row r="223">
      <c r="M223" s="21"/>
    </row>
    <row r="224">
      <c r="M224" s="21"/>
    </row>
    <row r="225">
      <c r="M225" s="21"/>
    </row>
    <row r="226">
      <c r="M226" s="21"/>
    </row>
    <row r="227">
      <c r="M227" s="21"/>
    </row>
    <row r="228">
      <c r="M228" s="21"/>
    </row>
    <row r="229">
      <c r="M229" s="21"/>
    </row>
    <row r="230">
      <c r="M230" s="21"/>
    </row>
    <row r="231">
      <c r="M231" s="21"/>
    </row>
    <row r="232">
      <c r="M232" s="21"/>
    </row>
    <row r="233">
      <c r="M233" s="21"/>
    </row>
    <row r="234">
      <c r="M234" s="21"/>
    </row>
    <row r="235">
      <c r="M235" s="21"/>
    </row>
    <row r="236">
      <c r="M236" s="21"/>
    </row>
    <row r="237">
      <c r="M237" s="21"/>
    </row>
    <row r="238">
      <c r="M238" s="21"/>
    </row>
    <row r="239">
      <c r="M239" s="21"/>
    </row>
    <row r="240">
      <c r="M240" s="21"/>
    </row>
    <row r="241">
      <c r="M241" s="21"/>
    </row>
    <row r="242">
      <c r="M242" s="21"/>
    </row>
    <row r="243">
      <c r="M243" s="21"/>
    </row>
    <row r="244">
      <c r="M244" s="21"/>
    </row>
    <row r="245">
      <c r="M245" s="21"/>
    </row>
    <row r="246">
      <c r="M246" s="21"/>
    </row>
    <row r="247">
      <c r="M247" s="21"/>
    </row>
    <row r="248">
      <c r="M248" s="21"/>
    </row>
    <row r="249">
      <c r="M249" s="21"/>
    </row>
    <row r="250">
      <c r="M250" s="21"/>
    </row>
    <row r="251">
      <c r="M251" s="21"/>
    </row>
    <row r="252">
      <c r="M252" s="21"/>
    </row>
    <row r="253">
      <c r="M253" s="21"/>
    </row>
    <row r="254">
      <c r="M254" s="21"/>
    </row>
    <row r="255">
      <c r="M255" s="21"/>
    </row>
    <row r="256">
      <c r="M256" s="21"/>
    </row>
    <row r="257">
      <c r="M257" s="21"/>
    </row>
    <row r="258">
      <c r="M258" s="21"/>
    </row>
    <row r="259">
      <c r="M259" s="21"/>
    </row>
    <row r="260">
      <c r="M260" s="21"/>
    </row>
    <row r="261">
      <c r="M261" s="21"/>
    </row>
    <row r="262">
      <c r="M262" s="21"/>
    </row>
    <row r="263">
      <c r="M263" s="21"/>
    </row>
    <row r="264">
      <c r="M264" s="21"/>
    </row>
    <row r="265">
      <c r="M265" s="21"/>
    </row>
    <row r="266">
      <c r="M266" s="21"/>
    </row>
    <row r="267">
      <c r="M267" s="21"/>
    </row>
    <row r="268">
      <c r="M268" s="21"/>
    </row>
    <row r="269">
      <c r="M269" s="21"/>
    </row>
    <row r="270">
      <c r="M270" s="21"/>
    </row>
    <row r="271">
      <c r="M271" s="21"/>
    </row>
    <row r="272">
      <c r="M272" s="21"/>
    </row>
    <row r="273">
      <c r="M273" s="21"/>
    </row>
    <row r="274">
      <c r="M274" s="21"/>
    </row>
    <row r="275">
      <c r="M275" s="21"/>
    </row>
    <row r="276">
      <c r="M276" s="21"/>
    </row>
    <row r="277">
      <c r="M277" s="21"/>
    </row>
    <row r="278">
      <c r="M278" s="21"/>
    </row>
    <row r="279">
      <c r="M279" s="21"/>
    </row>
    <row r="280">
      <c r="M280" s="21"/>
    </row>
    <row r="281">
      <c r="M281" s="21"/>
    </row>
    <row r="282">
      <c r="M282" s="21"/>
    </row>
    <row r="283">
      <c r="M283" s="21"/>
    </row>
    <row r="284">
      <c r="M284" s="21"/>
    </row>
    <row r="285">
      <c r="M285" s="21"/>
    </row>
    <row r="286">
      <c r="M286" s="21"/>
    </row>
    <row r="287">
      <c r="M287" s="21"/>
    </row>
    <row r="288">
      <c r="M288" s="21"/>
    </row>
    <row r="289">
      <c r="M289" s="21"/>
    </row>
    <row r="290">
      <c r="M290" s="21"/>
    </row>
    <row r="291">
      <c r="M291" s="21"/>
    </row>
    <row r="292">
      <c r="M292" s="21"/>
    </row>
    <row r="293">
      <c r="M293" s="21"/>
    </row>
    <row r="294">
      <c r="M294" s="21"/>
    </row>
    <row r="295">
      <c r="M295" s="21"/>
    </row>
    <row r="296">
      <c r="M296" s="21"/>
    </row>
    <row r="297">
      <c r="M297" s="21"/>
    </row>
    <row r="298">
      <c r="M298" s="21"/>
    </row>
    <row r="299">
      <c r="M299" s="21"/>
    </row>
    <row r="300">
      <c r="M300" s="21"/>
    </row>
    <row r="301">
      <c r="M301" s="21"/>
    </row>
    <row r="302">
      <c r="M302" s="21"/>
    </row>
    <row r="303">
      <c r="M303" s="21"/>
    </row>
    <row r="304">
      <c r="M304" s="21"/>
    </row>
    <row r="305">
      <c r="M305" s="21"/>
    </row>
    <row r="306">
      <c r="M306" s="21"/>
    </row>
    <row r="307">
      <c r="M307" s="21"/>
    </row>
    <row r="308">
      <c r="M308" s="21"/>
    </row>
    <row r="309">
      <c r="M309" s="21"/>
    </row>
    <row r="310">
      <c r="M310" s="21"/>
    </row>
    <row r="311">
      <c r="M311" s="21"/>
    </row>
    <row r="312">
      <c r="M312" s="21"/>
    </row>
    <row r="313">
      <c r="M313" s="21"/>
    </row>
    <row r="314">
      <c r="M314" s="21"/>
    </row>
    <row r="315">
      <c r="M315" s="21"/>
    </row>
    <row r="316">
      <c r="M316" s="21"/>
    </row>
    <row r="317">
      <c r="M317" s="21"/>
    </row>
    <row r="318">
      <c r="M318" s="21"/>
    </row>
    <row r="319">
      <c r="M319" s="21"/>
    </row>
    <row r="320">
      <c r="M320" s="21"/>
    </row>
    <row r="321">
      <c r="M321" s="21"/>
    </row>
    <row r="322">
      <c r="M322" s="21"/>
    </row>
    <row r="323">
      <c r="M323" s="21"/>
    </row>
    <row r="324">
      <c r="M324" s="21"/>
    </row>
    <row r="325">
      <c r="M325" s="21"/>
    </row>
    <row r="326">
      <c r="M326" s="21"/>
    </row>
    <row r="327">
      <c r="M327" s="21"/>
    </row>
    <row r="328">
      <c r="M328" s="21"/>
    </row>
    <row r="329">
      <c r="M329" s="21"/>
    </row>
    <row r="330">
      <c r="M330" s="21"/>
    </row>
    <row r="331">
      <c r="M331" s="21"/>
    </row>
    <row r="332">
      <c r="M332" s="21"/>
    </row>
    <row r="333">
      <c r="M333" s="21"/>
    </row>
    <row r="334">
      <c r="M334" s="21"/>
    </row>
    <row r="335">
      <c r="M335" s="21"/>
    </row>
    <row r="336">
      <c r="M336" s="21"/>
    </row>
    <row r="337">
      <c r="M337" s="21"/>
    </row>
    <row r="338">
      <c r="M338" s="21"/>
    </row>
    <row r="339">
      <c r="M339" s="21"/>
    </row>
    <row r="340">
      <c r="M340" s="21"/>
    </row>
    <row r="341">
      <c r="M341" s="21"/>
    </row>
    <row r="342">
      <c r="M342" s="21"/>
    </row>
    <row r="343">
      <c r="M343" s="21"/>
    </row>
    <row r="344">
      <c r="M344" s="21"/>
    </row>
    <row r="345">
      <c r="M345" s="21"/>
    </row>
    <row r="346">
      <c r="M346" s="21"/>
    </row>
    <row r="347">
      <c r="M347" s="21"/>
    </row>
    <row r="348">
      <c r="M348" s="21"/>
    </row>
    <row r="349">
      <c r="M349" s="21"/>
    </row>
    <row r="350">
      <c r="M350" s="21"/>
    </row>
    <row r="351">
      <c r="M351" s="21"/>
    </row>
    <row r="352">
      <c r="M352" s="21"/>
    </row>
    <row r="353">
      <c r="M353" s="21"/>
    </row>
    <row r="354">
      <c r="M354" s="21"/>
    </row>
    <row r="355">
      <c r="M355" s="21"/>
    </row>
    <row r="356">
      <c r="M356" s="21"/>
    </row>
    <row r="357">
      <c r="M357" s="21"/>
    </row>
    <row r="358">
      <c r="M358" s="21"/>
    </row>
    <row r="359">
      <c r="M359" s="21"/>
    </row>
    <row r="360">
      <c r="M360" s="21"/>
    </row>
    <row r="361">
      <c r="M361" s="21"/>
    </row>
    <row r="362">
      <c r="M362" s="21"/>
    </row>
    <row r="363">
      <c r="M363" s="21"/>
    </row>
    <row r="364">
      <c r="M364" s="21"/>
    </row>
    <row r="365">
      <c r="M365" s="21"/>
    </row>
    <row r="366">
      <c r="M366" s="21"/>
    </row>
    <row r="367">
      <c r="M367" s="21"/>
    </row>
    <row r="368">
      <c r="M368" s="21"/>
    </row>
    <row r="369">
      <c r="M369" s="21"/>
    </row>
    <row r="370">
      <c r="M370" s="21"/>
    </row>
    <row r="371">
      <c r="M371" s="21"/>
    </row>
    <row r="372">
      <c r="M372" s="21"/>
    </row>
    <row r="373">
      <c r="M373" s="21"/>
    </row>
    <row r="374">
      <c r="M374" s="21"/>
    </row>
    <row r="375">
      <c r="M375" s="21"/>
    </row>
    <row r="376">
      <c r="M376" s="21"/>
    </row>
    <row r="377">
      <c r="M377" s="21"/>
    </row>
    <row r="378">
      <c r="M378" s="21"/>
    </row>
    <row r="379">
      <c r="M379" s="21"/>
    </row>
    <row r="380">
      <c r="M380" s="21"/>
    </row>
    <row r="381">
      <c r="M381" s="21"/>
    </row>
    <row r="382">
      <c r="M382" s="21"/>
    </row>
    <row r="383">
      <c r="M383" s="21"/>
    </row>
    <row r="384">
      <c r="M384" s="21"/>
    </row>
    <row r="385">
      <c r="M385" s="21"/>
    </row>
    <row r="386">
      <c r="M386" s="21"/>
    </row>
    <row r="387">
      <c r="M387" s="21"/>
    </row>
    <row r="388">
      <c r="M388" s="21"/>
    </row>
    <row r="389">
      <c r="M389" s="21"/>
    </row>
    <row r="390">
      <c r="M390" s="21"/>
    </row>
    <row r="391">
      <c r="M391" s="21"/>
    </row>
    <row r="392">
      <c r="M392" s="21"/>
    </row>
    <row r="393">
      <c r="M393" s="21"/>
    </row>
    <row r="394">
      <c r="M394" s="21"/>
    </row>
    <row r="395">
      <c r="M395" s="21"/>
    </row>
    <row r="396">
      <c r="M396" s="21"/>
    </row>
    <row r="397">
      <c r="M397" s="21"/>
    </row>
    <row r="398">
      <c r="M398" s="21"/>
    </row>
    <row r="399">
      <c r="M399" s="21"/>
    </row>
    <row r="400">
      <c r="M400" s="21"/>
    </row>
    <row r="401">
      <c r="M401" s="21"/>
    </row>
    <row r="402">
      <c r="M402" s="21"/>
    </row>
    <row r="403">
      <c r="M403" s="21"/>
    </row>
    <row r="404">
      <c r="M404" s="21"/>
    </row>
    <row r="405">
      <c r="M405" s="21"/>
    </row>
    <row r="406">
      <c r="M406" s="21"/>
    </row>
    <row r="407">
      <c r="M407" s="21"/>
    </row>
    <row r="408">
      <c r="M408" s="21"/>
    </row>
    <row r="409">
      <c r="M409" s="21"/>
    </row>
    <row r="410">
      <c r="M410" s="21"/>
    </row>
    <row r="411">
      <c r="M411" s="21"/>
    </row>
    <row r="412">
      <c r="M412" s="21"/>
    </row>
    <row r="413">
      <c r="M413" s="21"/>
    </row>
    <row r="414">
      <c r="M414" s="21"/>
    </row>
    <row r="415">
      <c r="M415" s="21"/>
    </row>
    <row r="416">
      <c r="M416" s="21"/>
    </row>
    <row r="417">
      <c r="M417" s="21"/>
    </row>
    <row r="418">
      <c r="M418" s="21"/>
    </row>
    <row r="419">
      <c r="M419" s="21"/>
    </row>
    <row r="420">
      <c r="M420" s="21"/>
    </row>
    <row r="421">
      <c r="M421" s="21"/>
    </row>
    <row r="422">
      <c r="M422" s="21"/>
    </row>
    <row r="423">
      <c r="M423" s="21"/>
    </row>
    <row r="424">
      <c r="M424" s="21"/>
    </row>
    <row r="425">
      <c r="M425" s="21"/>
    </row>
    <row r="426">
      <c r="M426" s="21"/>
    </row>
    <row r="427">
      <c r="M427" s="21"/>
    </row>
    <row r="428">
      <c r="M428" s="21"/>
    </row>
    <row r="429">
      <c r="M429" s="21"/>
    </row>
    <row r="430">
      <c r="M430" s="21"/>
    </row>
    <row r="431">
      <c r="M431" s="21"/>
    </row>
    <row r="432">
      <c r="M432" s="21"/>
    </row>
    <row r="433">
      <c r="M433" s="21"/>
    </row>
    <row r="434">
      <c r="M434" s="21"/>
    </row>
    <row r="435">
      <c r="M435" s="21"/>
    </row>
    <row r="436">
      <c r="M436" s="21"/>
    </row>
    <row r="437">
      <c r="M437" s="21"/>
    </row>
    <row r="438">
      <c r="M438" s="21"/>
    </row>
    <row r="439">
      <c r="M439" s="21"/>
    </row>
    <row r="440">
      <c r="M440" s="21"/>
    </row>
    <row r="441">
      <c r="M441" s="21"/>
    </row>
    <row r="442">
      <c r="M442" s="21"/>
    </row>
    <row r="443">
      <c r="M443" s="21"/>
    </row>
    <row r="444">
      <c r="M444" s="21"/>
    </row>
    <row r="445">
      <c r="M445" s="21"/>
    </row>
    <row r="446">
      <c r="M446" s="21"/>
    </row>
    <row r="447">
      <c r="M447" s="21"/>
    </row>
    <row r="448">
      <c r="M448" s="21"/>
    </row>
    <row r="449">
      <c r="M449" s="21"/>
    </row>
    <row r="450">
      <c r="M450" s="21"/>
    </row>
    <row r="451">
      <c r="M451" s="21"/>
    </row>
    <row r="452">
      <c r="M452" s="21"/>
    </row>
    <row r="453">
      <c r="M453" s="21"/>
    </row>
    <row r="454">
      <c r="M454" s="21"/>
    </row>
    <row r="455">
      <c r="M455" s="21"/>
    </row>
    <row r="456">
      <c r="M456" s="21"/>
    </row>
    <row r="457">
      <c r="M457" s="21"/>
    </row>
    <row r="458">
      <c r="M458" s="21"/>
    </row>
    <row r="459">
      <c r="M459" s="21"/>
    </row>
    <row r="460">
      <c r="M460" s="21"/>
    </row>
    <row r="461">
      <c r="M461" s="21"/>
    </row>
    <row r="462">
      <c r="M462" s="21"/>
    </row>
    <row r="463">
      <c r="M463" s="21"/>
    </row>
    <row r="464">
      <c r="M464" s="21"/>
    </row>
    <row r="465">
      <c r="M465" s="21"/>
    </row>
    <row r="466">
      <c r="M466" s="21"/>
    </row>
    <row r="467">
      <c r="M467" s="21"/>
    </row>
    <row r="468">
      <c r="M468" s="21"/>
    </row>
    <row r="469">
      <c r="M469" s="21"/>
    </row>
    <row r="470">
      <c r="M470" s="21"/>
    </row>
    <row r="471">
      <c r="M471" s="21"/>
    </row>
    <row r="472">
      <c r="M472" s="21"/>
    </row>
    <row r="473">
      <c r="M473" s="21"/>
    </row>
    <row r="474">
      <c r="M474" s="21"/>
    </row>
    <row r="475">
      <c r="M475" s="21"/>
    </row>
    <row r="476">
      <c r="M476" s="21"/>
    </row>
    <row r="477">
      <c r="M477" s="21"/>
    </row>
    <row r="478">
      <c r="M478" s="21"/>
    </row>
    <row r="479">
      <c r="M479" s="21"/>
    </row>
    <row r="480">
      <c r="M480" s="21"/>
    </row>
    <row r="481">
      <c r="M481" s="21"/>
    </row>
    <row r="482">
      <c r="M482" s="21"/>
    </row>
    <row r="483">
      <c r="M483" s="21"/>
    </row>
    <row r="484">
      <c r="M484" s="21"/>
    </row>
    <row r="485">
      <c r="M485" s="21"/>
    </row>
    <row r="486">
      <c r="M486" s="21"/>
    </row>
    <row r="487">
      <c r="M487" s="21"/>
    </row>
    <row r="488">
      <c r="M488" s="21"/>
    </row>
    <row r="489">
      <c r="M489" s="21"/>
    </row>
    <row r="490">
      <c r="M490" s="21"/>
    </row>
    <row r="491">
      <c r="M491" s="21"/>
    </row>
    <row r="492">
      <c r="M492" s="21"/>
    </row>
    <row r="493">
      <c r="M493" s="21"/>
    </row>
    <row r="494">
      <c r="M494" s="21"/>
    </row>
    <row r="495">
      <c r="M495" s="21"/>
    </row>
    <row r="496">
      <c r="M496" s="21"/>
    </row>
    <row r="497">
      <c r="M497" s="21"/>
    </row>
    <row r="498">
      <c r="M498" s="21"/>
    </row>
    <row r="499">
      <c r="M499" s="21"/>
    </row>
    <row r="500">
      <c r="M500" s="21"/>
    </row>
    <row r="501">
      <c r="M501" s="21"/>
    </row>
    <row r="502">
      <c r="M502" s="21"/>
    </row>
    <row r="503">
      <c r="M503" s="21"/>
    </row>
    <row r="504">
      <c r="M504" s="21"/>
    </row>
    <row r="505">
      <c r="M505" s="21"/>
    </row>
    <row r="506">
      <c r="M506" s="21"/>
    </row>
    <row r="507">
      <c r="M507" s="21"/>
    </row>
    <row r="508">
      <c r="M508" s="21"/>
    </row>
    <row r="509">
      <c r="M509" s="21"/>
    </row>
    <row r="510">
      <c r="M510" s="21"/>
    </row>
    <row r="511">
      <c r="M511" s="21"/>
    </row>
    <row r="512">
      <c r="M512" s="21"/>
    </row>
    <row r="513">
      <c r="M513" s="21"/>
    </row>
    <row r="514">
      <c r="M514" s="21"/>
    </row>
    <row r="515">
      <c r="M515" s="21"/>
    </row>
    <row r="516">
      <c r="M516" s="21"/>
    </row>
    <row r="517">
      <c r="M517" s="21"/>
    </row>
    <row r="518">
      <c r="M518" s="21"/>
    </row>
    <row r="519">
      <c r="M519" s="21"/>
    </row>
    <row r="520">
      <c r="M520" s="21"/>
    </row>
    <row r="521">
      <c r="M521" s="21"/>
    </row>
    <row r="522">
      <c r="M522" s="21"/>
    </row>
    <row r="523">
      <c r="M523" s="21"/>
    </row>
    <row r="524">
      <c r="M524" s="21"/>
    </row>
    <row r="525">
      <c r="M525" s="21"/>
    </row>
    <row r="526">
      <c r="M526" s="21"/>
    </row>
    <row r="527">
      <c r="M527" s="21"/>
    </row>
    <row r="528">
      <c r="M528" s="21"/>
    </row>
    <row r="529">
      <c r="M529" s="21"/>
    </row>
    <row r="530">
      <c r="M530" s="21"/>
    </row>
    <row r="531">
      <c r="M531" s="21"/>
    </row>
    <row r="532">
      <c r="M532" s="21"/>
    </row>
    <row r="533">
      <c r="M533" s="21"/>
    </row>
    <row r="534">
      <c r="M534" s="21"/>
    </row>
    <row r="535">
      <c r="M535" s="21"/>
    </row>
    <row r="536">
      <c r="M536" s="21"/>
    </row>
    <row r="537">
      <c r="M537" s="21"/>
    </row>
    <row r="538">
      <c r="M538" s="21"/>
    </row>
    <row r="539">
      <c r="M539" s="21"/>
    </row>
    <row r="540">
      <c r="M540" s="21"/>
    </row>
    <row r="541">
      <c r="M541" s="21"/>
    </row>
    <row r="542">
      <c r="M542" s="21"/>
    </row>
    <row r="543">
      <c r="M543" s="21"/>
    </row>
    <row r="544">
      <c r="M544" s="21"/>
    </row>
    <row r="545">
      <c r="M545" s="21"/>
    </row>
    <row r="546">
      <c r="M546" s="21"/>
    </row>
    <row r="547">
      <c r="M547" s="21"/>
    </row>
    <row r="548">
      <c r="M548" s="21"/>
    </row>
    <row r="549">
      <c r="M549" s="21"/>
    </row>
    <row r="550">
      <c r="M550" s="21"/>
    </row>
    <row r="551">
      <c r="M551" s="21"/>
    </row>
    <row r="552">
      <c r="M552" s="21"/>
    </row>
    <row r="553">
      <c r="M553" s="21"/>
    </row>
    <row r="554">
      <c r="M554" s="21"/>
    </row>
    <row r="555">
      <c r="M555" s="21"/>
    </row>
    <row r="556">
      <c r="M556" s="21"/>
    </row>
    <row r="557">
      <c r="M557" s="21"/>
    </row>
    <row r="558">
      <c r="M558" s="21"/>
    </row>
    <row r="559">
      <c r="M559" s="21"/>
    </row>
    <row r="560">
      <c r="M560" s="21"/>
    </row>
    <row r="561">
      <c r="M561" s="21"/>
    </row>
    <row r="562">
      <c r="M562" s="21"/>
    </row>
    <row r="563">
      <c r="M563" s="21"/>
    </row>
    <row r="564">
      <c r="M564" s="21"/>
    </row>
    <row r="565">
      <c r="M565" s="21"/>
    </row>
    <row r="566">
      <c r="M566" s="21"/>
    </row>
    <row r="567">
      <c r="M567" s="21"/>
    </row>
    <row r="568">
      <c r="M568" s="21"/>
    </row>
    <row r="569">
      <c r="M569" s="21"/>
    </row>
    <row r="570">
      <c r="M570" s="21"/>
    </row>
    <row r="571">
      <c r="M571" s="21"/>
    </row>
    <row r="572">
      <c r="M572" s="21"/>
    </row>
    <row r="573">
      <c r="M573" s="21"/>
    </row>
    <row r="574">
      <c r="M574" s="21"/>
    </row>
    <row r="575">
      <c r="M575" s="21"/>
    </row>
    <row r="576">
      <c r="M576" s="21"/>
    </row>
    <row r="577">
      <c r="M577" s="21"/>
    </row>
    <row r="578">
      <c r="M578" s="21"/>
    </row>
    <row r="579">
      <c r="M579" s="21"/>
    </row>
    <row r="580">
      <c r="M580" s="21"/>
    </row>
    <row r="581">
      <c r="M581" s="21"/>
    </row>
    <row r="582">
      <c r="M582" s="21"/>
    </row>
    <row r="583">
      <c r="M583" s="21"/>
    </row>
    <row r="584">
      <c r="M584" s="21"/>
    </row>
    <row r="585">
      <c r="M585" s="21"/>
    </row>
    <row r="586">
      <c r="M586" s="21"/>
    </row>
    <row r="587">
      <c r="M587" s="21"/>
    </row>
    <row r="588">
      <c r="M588" s="21"/>
    </row>
    <row r="589">
      <c r="M589" s="21"/>
    </row>
    <row r="590">
      <c r="M590" s="21"/>
    </row>
    <row r="591">
      <c r="M591" s="21"/>
    </row>
    <row r="592">
      <c r="M592" s="21"/>
    </row>
    <row r="593">
      <c r="M593" s="21"/>
    </row>
    <row r="594">
      <c r="M594" s="21"/>
    </row>
    <row r="595">
      <c r="M595" s="21"/>
    </row>
    <row r="596">
      <c r="M596" s="21"/>
    </row>
    <row r="597">
      <c r="M597" s="21"/>
    </row>
    <row r="598">
      <c r="M598" s="21"/>
    </row>
    <row r="599">
      <c r="M599" s="21"/>
    </row>
    <row r="600">
      <c r="M600" s="21"/>
    </row>
    <row r="601">
      <c r="M601" s="21"/>
    </row>
    <row r="602">
      <c r="M602" s="21"/>
    </row>
    <row r="603">
      <c r="M603" s="21"/>
    </row>
    <row r="604">
      <c r="M604" s="21"/>
    </row>
    <row r="605">
      <c r="M605" s="21"/>
    </row>
    <row r="606">
      <c r="M606" s="21"/>
    </row>
    <row r="607">
      <c r="M607" s="21"/>
    </row>
    <row r="608">
      <c r="M608" s="21"/>
    </row>
    <row r="609">
      <c r="M609" s="21"/>
    </row>
    <row r="610">
      <c r="M610" s="21"/>
    </row>
    <row r="611">
      <c r="M611" s="21"/>
    </row>
    <row r="612">
      <c r="M612" s="21"/>
    </row>
    <row r="613">
      <c r="M613" s="21"/>
    </row>
    <row r="614">
      <c r="M614" s="21"/>
    </row>
    <row r="615">
      <c r="M615" s="21"/>
    </row>
    <row r="616">
      <c r="M616" s="21"/>
    </row>
    <row r="617">
      <c r="M617" s="21"/>
    </row>
    <row r="618">
      <c r="M618" s="21"/>
    </row>
    <row r="619">
      <c r="M619" s="21"/>
    </row>
    <row r="620">
      <c r="M620" s="21"/>
    </row>
    <row r="621">
      <c r="M621" s="21"/>
    </row>
    <row r="622">
      <c r="M622" s="21"/>
    </row>
    <row r="623">
      <c r="M623" s="21"/>
    </row>
    <row r="624">
      <c r="M624" s="21"/>
    </row>
    <row r="625">
      <c r="M625" s="21"/>
    </row>
    <row r="626">
      <c r="M626" s="21"/>
    </row>
    <row r="627">
      <c r="M627" s="21"/>
    </row>
    <row r="628">
      <c r="M628" s="21"/>
    </row>
    <row r="629">
      <c r="M629" s="21"/>
    </row>
    <row r="630">
      <c r="M630" s="21"/>
    </row>
    <row r="631">
      <c r="M631" s="21"/>
    </row>
    <row r="632">
      <c r="M632" s="21"/>
    </row>
    <row r="633">
      <c r="M633" s="21"/>
    </row>
    <row r="634">
      <c r="M634" s="21"/>
    </row>
    <row r="635">
      <c r="M635" s="21"/>
    </row>
    <row r="636">
      <c r="M636" s="21"/>
    </row>
    <row r="637">
      <c r="M637" s="21"/>
    </row>
    <row r="638">
      <c r="M638" s="21"/>
    </row>
    <row r="639">
      <c r="M639" s="21"/>
    </row>
    <row r="640">
      <c r="M640" s="21"/>
    </row>
    <row r="641">
      <c r="M641" s="21"/>
    </row>
    <row r="642">
      <c r="M642" s="21"/>
    </row>
    <row r="643">
      <c r="M643" s="21"/>
    </row>
    <row r="644">
      <c r="M644" s="21"/>
    </row>
    <row r="645">
      <c r="M645" s="21"/>
    </row>
    <row r="646">
      <c r="M646" s="21"/>
    </row>
    <row r="647">
      <c r="M647" s="21"/>
    </row>
    <row r="648">
      <c r="M648" s="21"/>
    </row>
    <row r="649">
      <c r="M649" s="21"/>
    </row>
    <row r="650">
      <c r="M650" s="21"/>
    </row>
    <row r="651">
      <c r="M651" s="21"/>
    </row>
    <row r="652">
      <c r="M652" s="21"/>
    </row>
    <row r="653">
      <c r="M653" s="21"/>
    </row>
    <row r="654">
      <c r="M654" s="21"/>
    </row>
    <row r="655">
      <c r="M655" s="21"/>
    </row>
    <row r="656">
      <c r="M656" s="21"/>
    </row>
    <row r="657">
      <c r="M657" s="21"/>
    </row>
    <row r="658">
      <c r="M658" s="21"/>
    </row>
    <row r="659">
      <c r="M659" s="21"/>
    </row>
    <row r="660">
      <c r="M660" s="21"/>
    </row>
    <row r="661">
      <c r="M661" s="21"/>
    </row>
    <row r="662">
      <c r="M662" s="21"/>
    </row>
    <row r="663">
      <c r="M663" s="21"/>
    </row>
    <row r="664">
      <c r="M664" s="21"/>
    </row>
    <row r="665">
      <c r="M665" s="21"/>
    </row>
    <row r="666">
      <c r="M666" s="21"/>
    </row>
    <row r="667">
      <c r="M667" s="21"/>
    </row>
    <row r="668">
      <c r="M668" s="21"/>
    </row>
    <row r="669">
      <c r="M669" s="21"/>
    </row>
    <row r="670">
      <c r="M670" s="21"/>
    </row>
    <row r="671">
      <c r="M671" s="21"/>
    </row>
    <row r="672">
      <c r="M672" s="21"/>
    </row>
    <row r="673">
      <c r="M673" s="21"/>
    </row>
    <row r="674">
      <c r="M674" s="21"/>
    </row>
    <row r="675">
      <c r="M675" s="21"/>
    </row>
    <row r="676">
      <c r="M676" s="21"/>
    </row>
    <row r="677">
      <c r="M677" s="21"/>
    </row>
    <row r="678">
      <c r="M678" s="21"/>
    </row>
    <row r="679">
      <c r="M679" s="21"/>
    </row>
    <row r="680">
      <c r="M680" s="21"/>
    </row>
    <row r="681">
      <c r="M681" s="21"/>
    </row>
    <row r="682">
      <c r="M682" s="21"/>
    </row>
    <row r="683">
      <c r="M683" s="21"/>
    </row>
    <row r="684">
      <c r="M684" s="21"/>
    </row>
    <row r="685">
      <c r="M685" s="21"/>
    </row>
    <row r="686">
      <c r="M686" s="21"/>
    </row>
    <row r="687">
      <c r="M687" s="21"/>
    </row>
    <row r="688">
      <c r="M688" s="21"/>
    </row>
    <row r="689">
      <c r="M689" s="21"/>
    </row>
    <row r="690">
      <c r="M690" s="21"/>
    </row>
    <row r="691">
      <c r="M691" s="21"/>
    </row>
    <row r="692">
      <c r="M692" s="21"/>
    </row>
    <row r="693">
      <c r="M693" s="21"/>
    </row>
    <row r="694">
      <c r="M694" s="21"/>
    </row>
    <row r="695">
      <c r="M695" s="21"/>
    </row>
    <row r="696">
      <c r="M696" s="21"/>
    </row>
    <row r="697">
      <c r="M697" s="21"/>
    </row>
    <row r="698">
      <c r="M698" s="21"/>
    </row>
    <row r="699">
      <c r="M699" s="21"/>
    </row>
    <row r="700">
      <c r="M700" s="21"/>
    </row>
    <row r="701">
      <c r="M701" s="21"/>
    </row>
    <row r="702">
      <c r="M702" s="21"/>
    </row>
    <row r="703">
      <c r="M703" s="21"/>
    </row>
    <row r="704">
      <c r="M704" s="21"/>
    </row>
    <row r="705">
      <c r="M705" s="21"/>
    </row>
    <row r="706">
      <c r="M706" s="21"/>
    </row>
    <row r="707">
      <c r="M707" s="21"/>
    </row>
    <row r="708">
      <c r="M708" s="21"/>
    </row>
    <row r="709">
      <c r="M709" s="21"/>
    </row>
    <row r="710">
      <c r="M710" s="21"/>
    </row>
    <row r="711">
      <c r="M711" s="21"/>
    </row>
    <row r="712">
      <c r="M712" s="21"/>
    </row>
    <row r="713">
      <c r="M713" s="21"/>
    </row>
    <row r="714">
      <c r="M714" s="21"/>
    </row>
    <row r="715">
      <c r="M715" s="21"/>
    </row>
    <row r="716">
      <c r="M716" s="21"/>
    </row>
    <row r="717">
      <c r="M717" s="21"/>
    </row>
    <row r="718">
      <c r="M718" s="21"/>
    </row>
    <row r="719">
      <c r="M719" s="21"/>
    </row>
    <row r="720">
      <c r="M720" s="21"/>
    </row>
    <row r="721">
      <c r="M721" s="21"/>
    </row>
    <row r="722">
      <c r="M722" s="21"/>
    </row>
    <row r="723">
      <c r="M723" s="21"/>
    </row>
    <row r="724">
      <c r="M724" s="21"/>
    </row>
    <row r="725">
      <c r="M725" s="21"/>
    </row>
    <row r="726">
      <c r="M726" s="21"/>
    </row>
    <row r="727">
      <c r="M727" s="21"/>
    </row>
    <row r="728">
      <c r="M728" s="21"/>
    </row>
    <row r="729">
      <c r="M729" s="21"/>
    </row>
    <row r="730">
      <c r="M730" s="21"/>
    </row>
    <row r="731">
      <c r="M731" s="21"/>
    </row>
    <row r="732">
      <c r="M732" s="21"/>
    </row>
    <row r="733">
      <c r="M733" s="21"/>
    </row>
    <row r="734">
      <c r="M734" s="21"/>
    </row>
    <row r="735">
      <c r="M735" s="21"/>
    </row>
    <row r="736">
      <c r="M736" s="21"/>
    </row>
    <row r="737">
      <c r="M737" s="21"/>
    </row>
    <row r="738">
      <c r="M738" s="21"/>
    </row>
    <row r="739">
      <c r="M739" s="21"/>
    </row>
    <row r="740">
      <c r="M740" s="21"/>
    </row>
    <row r="741">
      <c r="M741" s="21"/>
    </row>
    <row r="742">
      <c r="M742" s="21"/>
    </row>
    <row r="743">
      <c r="M743" s="21"/>
    </row>
    <row r="744">
      <c r="M744" s="21"/>
    </row>
    <row r="745">
      <c r="M745" s="21"/>
    </row>
    <row r="746">
      <c r="M746" s="21"/>
    </row>
    <row r="747">
      <c r="M747" s="21"/>
    </row>
    <row r="748">
      <c r="M748" s="21"/>
    </row>
    <row r="749">
      <c r="M749" s="21"/>
    </row>
    <row r="750">
      <c r="M750" s="21"/>
    </row>
    <row r="751">
      <c r="M751" s="21"/>
    </row>
    <row r="752">
      <c r="M752" s="21"/>
    </row>
    <row r="753">
      <c r="M753" s="21"/>
    </row>
    <row r="754">
      <c r="M754" s="21"/>
    </row>
    <row r="755">
      <c r="M755" s="21"/>
    </row>
    <row r="756">
      <c r="M756" s="21"/>
    </row>
    <row r="757">
      <c r="M757" s="21"/>
    </row>
    <row r="758">
      <c r="M758" s="21"/>
    </row>
    <row r="759">
      <c r="M759" s="21"/>
    </row>
    <row r="760">
      <c r="M760" s="21"/>
    </row>
    <row r="761">
      <c r="M761" s="21"/>
    </row>
    <row r="762">
      <c r="M762" s="21"/>
    </row>
    <row r="763">
      <c r="M763" s="21"/>
    </row>
    <row r="764">
      <c r="M764" s="21"/>
    </row>
    <row r="765">
      <c r="M765" s="21"/>
    </row>
    <row r="766">
      <c r="M766" s="21"/>
    </row>
    <row r="767">
      <c r="M767" s="21"/>
    </row>
    <row r="768">
      <c r="M768" s="21"/>
    </row>
    <row r="769">
      <c r="M769" s="21"/>
    </row>
    <row r="770">
      <c r="M770" s="21"/>
    </row>
    <row r="771">
      <c r="M771" s="21"/>
    </row>
    <row r="772">
      <c r="M772" s="21"/>
    </row>
    <row r="773">
      <c r="M773" s="21"/>
    </row>
    <row r="774">
      <c r="M774" s="21"/>
    </row>
    <row r="775">
      <c r="M775" s="21"/>
    </row>
    <row r="776">
      <c r="M776" s="21"/>
    </row>
    <row r="777">
      <c r="M777" s="21"/>
    </row>
    <row r="778">
      <c r="M778" s="21"/>
    </row>
    <row r="779">
      <c r="M779" s="21"/>
    </row>
    <row r="780">
      <c r="M780" s="21"/>
    </row>
    <row r="781">
      <c r="M781" s="21"/>
    </row>
    <row r="782">
      <c r="M782" s="21"/>
    </row>
    <row r="783">
      <c r="M783" s="21"/>
    </row>
    <row r="784">
      <c r="M784" s="21"/>
    </row>
    <row r="785">
      <c r="M785" s="21"/>
    </row>
    <row r="786">
      <c r="M786" s="21"/>
    </row>
    <row r="787">
      <c r="M787" s="21"/>
    </row>
    <row r="788">
      <c r="M788" s="21"/>
    </row>
    <row r="789">
      <c r="M789" s="21"/>
    </row>
    <row r="790">
      <c r="M790" s="21"/>
    </row>
    <row r="791">
      <c r="M791" s="21"/>
    </row>
    <row r="792">
      <c r="M792" s="21"/>
    </row>
    <row r="793">
      <c r="M793" s="21"/>
    </row>
    <row r="794">
      <c r="M794" s="21"/>
    </row>
    <row r="795">
      <c r="M795" s="21"/>
    </row>
    <row r="796">
      <c r="M796" s="21"/>
    </row>
    <row r="797">
      <c r="M797" s="21"/>
    </row>
    <row r="798">
      <c r="M798" s="21"/>
    </row>
    <row r="799">
      <c r="M799" s="21"/>
    </row>
    <row r="800">
      <c r="M800" s="21"/>
    </row>
    <row r="801">
      <c r="M801" s="21"/>
    </row>
    <row r="802">
      <c r="M802" s="21"/>
    </row>
    <row r="803">
      <c r="M803" s="21"/>
    </row>
    <row r="804">
      <c r="M804" s="21"/>
    </row>
    <row r="805">
      <c r="M805" s="21"/>
    </row>
    <row r="806">
      <c r="M806" s="21"/>
    </row>
    <row r="807">
      <c r="M807" s="21"/>
    </row>
    <row r="808">
      <c r="M808" s="21"/>
    </row>
    <row r="809">
      <c r="M809" s="21"/>
    </row>
    <row r="810">
      <c r="M810" s="21"/>
    </row>
    <row r="811">
      <c r="M811" s="21"/>
    </row>
    <row r="812">
      <c r="M812" s="21"/>
    </row>
    <row r="813">
      <c r="M813" s="21"/>
    </row>
    <row r="814">
      <c r="M814" s="21"/>
    </row>
    <row r="815">
      <c r="M815" s="21"/>
    </row>
    <row r="816">
      <c r="M816" s="21"/>
    </row>
    <row r="817">
      <c r="M817" s="21"/>
    </row>
    <row r="818">
      <c r="M818" s="21"/>
    </row>
    <row r="819">
      <c r="M819" s="21"/>
    </row>
    <row r="820">
      <c r="M820" s="21"/>
    </row>
    <row r="821">
      <c r="M821" s="21"/>
    </row>
    <row r="822">
      <c r="M822" s="21"/>
    </row>
    <row r="823">
      <c r="M823" s="21"/>
    </row>
    <row r="824">
      <c r="M824" s="21"/>
    </row>
    <row r="825">
      <c r="M825" s="21"/>
    </row>
    <row r="826">
      <c r="M826" s="21"/>
    </row>
    <row r="827">
      <c r="M827" s="21"/>
    </row>
    <row r="828">
      <c r="M828" s="21"/>
    </row>
    <row r="829">
      <c r="M829" s="21"/>
    </row>
    <row r="830">
      <c r="M830" s="21"/>
    </row>
    <row r="831">
      <c r="M831" s="21"/>
    </row>
    <row r="832">
      <c r="M832" s="21"/>
    </row>
    <row r="833">
      <c r="M833" s="21"/>
    </row>
    <row r="834">
      <c r="M834" s="21"/>
    </row>
    <row r="835">
      <c r="M835" s="21"/>
    </row>
    <row r="836">
      <c r="M836" s="21"/>
    </row>
    <row r="837">
      <c r="M837" s="21"/>
    </row>
    <row r="838">
      <c r="M838" s="21"/>
    </row>
    <row r="839">
      <c r="M839" s="21"/>
    </row>
    <row r="840">
      <c r="M840" s="21"/>
    </row>
    <row r="841">
      <c r="M841" s="21"/>
    </row>
    <row r="842">
      <c r="M842" s="21"/>
    </row>
    <row r="843">
      <c r="M843" s="21"/>
    </row>
    <row r="844">
      <c r="M844" s="21"/>
    </row>
    <row r="845">
      <c r="M845" s="21"/>
    </row>
    <row r="846">
      <c r="M846" s="21"/>
    </row>
    <row r="847">
      <c r="M847" s="21"/>
    </row>
    <row r="848">
      <c r="M848" s="21"/>
    </row>
    <row r="849">
      <c r="M849" s="21"/>
    </row>
    <row r="850">
      <c r="M850" s="21"/>
    </row>
    <row r="851">
      <c r="M851" s="21"/>
    </row>
    <row r="852">
      <c r="M852" s="21"/>
    </row>
    <row r="853">
      <c r="M853" s="21"/>
    </row>
    <row r="854">
      <c r="M854" s="21"/>
    </row>
    <row r="855">
      <c r="M855" s="21"/>
    </row>
    <row r="856">
      <c r="M856" s="21"/>
    </row>
    <row r="857">
      <c r="M857" s="21"/>
    </row>
    <row r="858">
      <c r="M858" s="21"/>
    </row>
    <row r="859">
      <c r="M859" s="21"/>
    </row>
    <row r="860">
      <c r="M860" s="21"/>
    </row>
    <row r="861">
      <c r="M861" s="21"/>
    </row>
    <row r="862">
      <c r="M862" s="21"/>
    </row>
    <row r="863">
      <c r="M863" s="21"/>
    </row>
    <row r="864">
      <c r="M864" s="21"/>
    </row>
    <row r="865">
      <c r="M865" s="21"/>
    </row>
    <row r="866">
      <c r="M866" s="21"/>
    </row>
    <row r="867">
      <c r="M867" s="21"/>
    </row>
    <row r="868">
      <c r="M868" s="21"/>
    </row>
    <row r="869">
      <c r="M869" s="21"/>
    </row>
    <row r="870">
      <c r="M870" s="21"/>
    </row>
    <row r="871">
      <c r="M871" s="21"/>
    </row>
    <row r="872">
      <c r="M872" s="21"/>
    </row>
    <row r="873">
      <c r="M873" s="21"/>
    </row>
    <row r="874">
      <c r="M874" s="21"/>
    </row>
    <row r="875">
      <c r="M875" s="21"/>
    </row>
    <row r="876">
      <c r="M876" s="21"/>
    </row>
    <row r="877">
      <c r="M877" s="21"/>
    </row>
    <row r="878">
      <c r="M878" s="21"/>
    </row>
    <row r="879">
      <c r="M879" s="21"/>
    </row>
    <row r="880">
      <c r="M880" s="21"/>
    </row>
    <row r="881">
      <c r="M881" s="21"/>
    </row>
    <row r="882">
      <c r="M882" s="21"/>
    </row>
    <row r="883">
      <c r="M883" s="21"/>
    </row>
    <row r="884">
      <c r="M884" s="21"/>
    </row>
    <row r="885">
      <c r="M885" s="21"/>
    </row>
    <row r="886">
      <c r="M886" s="21"/>
    </row>
    <row r="887">
      <c r="M887" s="21"/>
    </row>
    <row r="888">
      <c r="M888" s="21"/>
    </row>
    <row r="889">
      <c r="M889" s="21"/>
    </row>
    <row r="890">
      <c r="M890" s="21"/>
    </row>
    <row r="891">
      <c r="M891" s="21"/>
    </row>
    <row r="892">
      <c r="M892" s="21"/>
    </row>
    <row r="893">
      <c r="M893" s="21"/>
    </row>
    <row r="894">
      <c r="M894" s="21"/>
    </row>
    <row r="895">
      <c r="M895" s="21"/>
    </row>
    <row r="896">
      <c r="M896" s="21"/>
    </row>
    <row r="897">
      <c r="M897" s="21"/>
    </row>
    <row r="898">
      <c r="M898" s="21"/>
    </row>
    <row r="899">
      <c r="M899" s="21"/>
    </row>
    <row r="900">
      <c r="M900" s="21"/>
    </row>
    <row r="901">
      <c r="M901" s="21"/>
    </row>
    <row r="902">
      <c r="M902" s="21"/>
    </row>
    <row r="903">
      <c r="M903" s="21"/>
    </row>
    <row r="904">
      <c r="M904" s="21"/>
    </row>
    <row r="905">
      <c r="M905" s="21"/>
    </row>
    <row r="906">
      <c r="M906" s="21"/>
    </row>
    <row r="907">
      <c r="M907" s="21"/>
    </row>
    <row r="908">
      <c r="M908" s="21"/>
    </row>
    <row r="909">
      <c r="M909" s="21"/>
    </row>
    <row r="910">
      <c r="M910" s="21"/>
    </row>
    <row r="911">
      <c r="M911" s="21"/>
    </row>
    <row r="912">
      <c r="M912" s="21"/>
    </row>
    <row r="913">
      <c r="M913" s="21"/>
    </row>
    <row r="914">
      <c r="M914" s="21"/>
    </row>
    <row r="915">
      <c r="M915" s="21"/>
    </row>
    <row r="916">
      <c r="M916" s="21"/>
    </row>
    <row r="917">
      <c r="M917" s="21"/>
    </row>
    <row r="918">
      <c r="M918" s="21"/>
    </row>
    <row r="919">
      <c r="M919" s="21"/>
    </row>
    <row r="920">
      <c r="M920" s="21"/>
    </row>
    <row r="921">
      <c r="M921" s="21"/>
    </row>
    <row r="922">
      <c r="M922" s="21"/>
    </row>
    <row r="923">
      <c r="M923" s="21"/>
    </row>
    <row r="924">
      <c r="M924" s="21"/>
    </row>
    <row r="925">
      <c r="M925" s="21"/>
    </row>
    <row r="926">
      <c r="M926" s="21"/>
    </row>
    <row r="927">
      <c r="M927" s="21"/>
    </row>
    <row r="928">
      <c r="M928" s="21"/>
    </row>
    <row r="929">
      <c r="M929" s="21"/>
    </row>
    <row r="930">
      <c r="M930" s="21"/>
    </row>
    <row r="931">
      <c r="M931" s="21"/>
    </row>
    <row r="932">
      <c r="M932" s="21"/>
    </row>
    <row r="933">
      <c r="M933" s="21"/>
    </row>
    <row r="934">
      <c r="M934" s="21"/>
    </row>
    <row r="935">
      <c r="M935" s="21"/>
    </row>
    <row r="936">
      <c r="M936" s="21"/>
    </row>
    <row r="937">
      <c r="M937" s="21"/>
    </row>
    <row r="938">
      <c r="M938" s="21"/>
    </row>
    <row r="939">
      <c r="M939" s="21"/>
    </row>
    <row r="940">
      <c r="M940" s="21"/>
    </row>
    <row r="941">
      <c r="M941" s="21"/>
    </row>
    <row r="942">
      <c r="M942" s="21"/>
    </row>
    <row r="943">
      <c r="M943" s="21"/>
    </row>
    <row r="944">
      <c r="M944" s="21"/>
    </row>
    <row r="945">
      <c r="M945" s="21"/>
    </row>
    <row r="946">
      <c r="M946" s="21"/>
    </row>
    <row r="947">
      <c r="M947" s="21"/>
    </row>
    <row r="948">
      <c r="M948" s="21"/>
    </row>
    <row r="949">
      <c r="M949" s="21"/>
    </row>
    <row r="950">
      <c r="M950" s="21"/>
    </row>
    <row r="951">
      <c r="M951" s="21"/>
    </row>
    <row r="952">
      <c r="M952" s="21"/>
    </row>
    <row r="953">
      <c r="M953" s="21"/>
    </row>
    <row r="954">
      <c r="M954" s="21"/>
    </row>
    <row r="955">
      <c r="M955" s="21"/>
    </row>
    <row r="956">
      <c r="M956" s="21"/>
    </row>
    <row r="957">
      <c r="M957" s="21"/>
    </row>
    <row r="958">
      <c r="M958" s="21"/>
    </row>
    <row r="959">
      <c r="M959" s="21"/>
    </row>
    <row r="960">
      <c r="M960" s="21"/>
    </row>
    <row r="961">
      <c r="M961" s="21"/>
    </row>
    <row r="962">
      <c r="M962" s="21"/>
    </row>
    <row r="963">
      <c r="M963" s="21"/>
    </row>
    <row r="964">
      <c r="M964" s="21"/>
    </row>
    <row r="965">
      <c r="M965" s="21"/>
    </row>
    <row r="966">
      <c r="M966" s="21"/>
    </row>
    <row r="967">
      <c r="M967" s="21"/>
    </row>
    <row r="968">
      <c r="M968" s="21"/>
    </row>
    <row r="969">
      <c r="M969" s="21"/>
    </row>
    <row r="970">
      <c r="M970" s="21"/>
    </row>
    <row r="971">
      <c r="M971" s="21"/>
    </row>
    <row r="972">
      <c r="M972" s="21"/>
    </row>
    <row r="973">
      <c r="M973" s="21"/>
    </row>
    <row r="974">
      <c r="M974" s="21"/>
    </row>
    <row r="975">
      <c r="M975" s="21"/>
    </row>
    <row r="976">
      <c r="M976" s="21"/>
    </row>
    <row r="977">
      <c r="M977" s="21"/>
    </row>
    <row r="978">
      <c r="M978" s="21"/>
    </row>
    <row r="979">
      <c r="M979" s="21"/>
    </row>
    <row r="980">
      <c r="M980" s="21"/>
    </row>
    <row r="981">
      <c r="M981" s="21"/>
    </row>
    <row r="982">
      <c r="M982" s="21"/>
    </row>
    <row r="983">
      <c r="M983" s="21"/>
    </row>
    <row r="984">
      <c r="M984" s="21"/>
    </row>
    <row r="985">
      <c r="M985" s="21"/>
    </row>
    <row r="986">
      <c r="M986" s="21"/>
    </row>
    <row r="987">
      <c r="M987" s="21"/>
    </row>
    <row r="988">
      <c r="M988" s="21"/>
    </row>
    <row r="989">
      <c r="M989" s="21"/>
    </row>
    <row r="990">
      <c r="M990" s="21"/>
    </row>
    <row r="991">
      <c r="M991" s="21"/>
    </row>
    <row r="992">
      <c r="M992" s="21"/>
    </row>
    <row r="993">
      <c r="M993" s="21"/>
    </row>
    <row r="994">
      <c r="M994" s="21"/>
    </row>
    <row r="995">
      <c r="M995" s="21"/>
    </row>
    <row r="996">
      <c r="M996" s="21"/>
    </row>
    <row r="997">
      <c r="M997" s="21"/>
    </row>
    <row r="998">
      <c r="M998" s="21"/>
    </row>
    <row r="999">
      <c r="M999" s="21"/>
    </row>
    <row r="1000">
      <c r="M1000" s="21"/>
    </row>
    <row r="1001">
      <c r="M1001" s="21"/>
    </row>
    <row r="1002">
      <c r="M1002" s="21"/>
    </row>
    <row r="1003">
      <c r="M1003" s="21"/>
    </row>
    <row r="1004">
      <c r="M1004" s="21"/>
    </row>
    <row r="1005">
      <c r="M1005" s="21"/>
    </row>
    <row r="1006">
      <c r="M1006" s="21"/>
    </row>
    <row r="1007">
      <c r="M1007" s="21"/>
    </row>
    <row r="1008">
      <c r="M1008" s="21"/>
    </row>
    <row r="1009">
      <c r="M1009" s="21"/>
    </row>
    <row r="1010">
      <c r="M1010" s="21"/>
    </row>
    <row r="1011">
      <c r="M1011" s="21"/>
    </row>
    <row r="1012">
      <c r="M1012" s="21"/>
    </row>
    <row r="1013">
      <c r="M1013" s="21"/>
    </row>
    <row r="1014">
      <c r="M1014" s="21"/>
    </row>
    <row r="1015">
      <c r="M1015" s="21"/>
    </row>
    <row r="1016">
      <c r="M1016" s="21"/>
    </row>
    <row r="1017">
      <c r="M1017" s="21"/>
    </row>
    <row r="1018">
      <c r="M1018" s="21"/>
    </row>
    <row r="1019">
      <c r="M1019" s="21"/>
    </row>
    <row r="1020">
      <c r="M1020" s="21"/>
    </row>
    <row r="1021">
      <c r="M1021" s="21"/>
    </row>
    <row r="1022">
      <c r="M1022" s="21"/>
    </row>
    <row r="1023">
      <c r="M1023" s="21"/>
    </row>
    <row r="1024">
      <c r="M1024" s="21"/>
    </row>
    <row r="1025">
      <c r="M1025" s="21"/>
    </row>
    <row r="1026">
      <c r="M1026" s="21"/>
    </row>
    <row r="1027">
      <c r="M1027" s="21"/>
    </row>
    <row r="1028">
      <c r="M1028" s="21"/>
    </row>
    <row r="1029">
      <c r="M1029" s="21"/>
    </row>
    <row r="1030">
      <c r="M1030" s="21"/>
    </row>
    <row r="1031">
      <c r="M1031" s="21"/>
    </row>
  </sheetData>
  <autoFilter ref="$A$1:$BV$23"/>
  <conditionalFormatting sqref="B154">
    <cfRule type="cellIs" dxfId="1" priority="1" operator="greaterThanOrEqual">
      <formula>0</formula>
    </cfRule>
  </conditionalFormatting>
  <conditionalFormatting sqref="B154">
    <cfRule type="cellIs" dxfId="2" priority="2" operator="lessThan">
      <formula>0</formula>
    </cfRule>
  </conditionalFormatting>
  <dataValidations>
    <dataValidation type="list" allowBlank="1" showErrorMessage="1" sqref="J2:J103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  <c r="M1" s="36" t="s">
        <v>94</v>
      </c>
    </row>
    <row r="2">
      <c r="A2" s="1" t="s">
        <v>95</v>
      </c>
      <c r="B2" s="1">
        <v>5.0</v>
      </c>
      <c r="C2" s="37">
        <v>660.0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38"/>
    </row>
    <row r="3">
      <c r="A3" s="1" t="s">
        <v>102</v>
      </c>
      <c r="B3" s="1">
        <v>7.0</v>
      </c>
      <c r="C3" s="52">
        <f>(3375.75)-(3375.75*0.7636)</f>
        <v>798.0273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38"/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38"/>
    </row>
    <row r="5">
      <c r="A5" s="1" t="s">
        <v>106</v>
      </c>
      <c r="B5" s="1">
        <v>14.0</v>
      </c>
      <c r="C5" s="37">
        <v>511.0</v>
      </c>
      <c r="D5" s="1" t="s">
        <v>96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  <c r="M5" s="38"/>
    </row>
    <row r="6">
      <c r="A6" s="1" t="s">
        <v>111</v>
      </c>
      <c r="B6" s="1">
        <v>11.0</v>
      </c>
      <c r="C6" s="37">
        <v>99.0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  <c r="M6" s="38"/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  <c r="M7" s="38"/>
    </row>
    <row r="8">
      <c r="A8" s="1" t="s">
        <v>116</v>
      </c>
      <c r="B8" s="1">
        <v>30.0</v>
      </c>
      <c r="C8" s="37">
        <v>17.45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  <c r="M8" s="38"/>
    </row>
    <row r="9">
      <c r="A9" s="1" t="s">
        <v>119</v>
      </c>
      <c r="B9" s="1"/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  <c r="M9" s="38"/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  <c r="M10" s="38"/>
    </row>
    <row r="11">
      <c r="A11" s="1" t="s">
        <v>122</v>
      </c>
      <c r="B11" s="1">
        <v>2.0</v>
      </c>
      <c r="C11" s="37">
        <v>14.99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  <c r="M11" s="38"/>
    </row>
    <row r="12">
      <c r="A12" s="1" t="s">
        <v>123</v>
      </c>
      <c r="B12" s="1">
        <v>15.0</v>
      </c>
      <c r="C12" s="41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  <c r="M12" s="38"/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  <c r="M13" s="38"/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  <c r="M14" s="38"/>
    </row>
    <row r="15">
      <c r="A15" s="1" t="s">
        <v>126</v>
      </c>
      <c r="B15" s="1">
        <v>27.0</v>
      </c>
      <c r="C15" s="37">
        <v>206.99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  <c r="M15" s="38"/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>
        <v>45272.0</v>
      </c>
      <c r="L16" s="1" t="s">
        <v>101</v>
      </c>
      <c r="M16" s="38"/>
    </row>
    <row r="17">
      <c r="A17" s="1" t="s">
        <v>130</v>
      </c>
      <c r="B17" s="1">
        <v>27.0</v>
      </c>
      <c r="C17" s="37">
        <f>79.9</f>
        <v>79.9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  <c r="M17" s="38"/>
    </row>
    <row r="18">
      <c r="A18" s="1" t="s">
        <v>372</v>
      </c>
      <c r="B18" s="1">
        <v>10.0</v>
      </c>
      <c r="C18" s="37">
        <v>0.0</v>
      </c>
      <c r="D18" s="37">
        <v>0.0</v>
      </c>
      <c r="E18" s="1" t="s">
        <v>105</v>
      </c>
      <c r="F18" s="1" t="s">
        <v>115</v>
      </c>
      <c r="G18" s="1" t="s">
        <v>98</v>
      </c>
      <c r="J18" s="1" t="s">
        <v>15</v>
      </c>
      <c r="M18" s="38"/>
    </row>
    <row r="19">
      <c r="A19" s="1" t="s">
        <v>895</v>
      </c>
      <c r="B19" s="1">
        <v>10.0</v>
      </c>
      <c r="C19" s="37">
        <v>0.0</v>
      </c>
      <c r="D19" s="37">
        <v>250.0</v>
      </c>
      <c r="E19" s="1" t="s">
        <v>105</v>
      </c>
      <c r="F19" s="1" t="s">
        <v>107</v>
      </c>
      <c r="G19" s="1" t="s">
        <v>98</v>
      </c>
      <c r="H19" s="1" t="s">
        <v>109</v>
      </c>
      <c r="I19" s="1" t="s">
        <v>100</v>
      </c>
      <c r="J19" s="1" t="s">
        <v>28</v>
      </c>
      <c r="M19" s="38"/>
    </row>
    <row r="20">
      <c r="A20" s="1" t="s">
        <v>625</v>
      </c>
      <c r="C20" s="37">
        <v>0.0</v>
      </c>
      <c r="D20" s="1" t="s">
        <v>913</v>
      </c>
      <c r="J20" s="1" t="s">
        <v>22</v>
      </c>
      <c r="M20" s="38"/>
    </row>
    <row r="21">
      <c r="A21" s="1" t="s">
        <v>914</v>
      </c>
      <c r="C21" s="37">
        <v>0.0</v>
      </c>
      <c r="D21" s="37">
        <v>0.0</v>
      </c>
      <c r="J21" s="1" t="s">
        <v>42</v>
      </c>
      <c r="M21" s="38"/>
    </row>
    <row r="22">
      <c r="A22" s="1" t="s">
        <v>915</v>
      </c>
      <c r="C22" s="37">
        <v>0.0</v>
      </c>
      <c r="D22" s="1" t="s">
        <v>96</v>
      </c>
      <c r="E22" s="1" t="s">
        <v>132</v>
      </c>
      <c r="F22" s="1" t="s">
        <v>916</v>
      </c>
      <c r="G22" s="1" t="s">
        <v>98</v>
      </c>
      <c r="J22" s="1" t="s">
        <v>28</v>
      </c>
      <c r="M22" s="38"/>
    </row>
    <row r="23">
      <c r="A23" s="1" t="s">
        <v>917</v>
      </c>
      <c r="B23" s="1"/>
      <c r="C23" s="37">
        <v>0.0</v>
      </c>
      <c r="D23" s="1" t="s">
        <v>96</v>
      </c>
      <c r="E23" s="1" t="s">
        <v>132</v>
      </c>
      <c r="G23" s="1" t="s">
        <v>98</v>
      </c>
      <c r="J23" s="1" t="s">
        <v>35</v>
      </c>
      <c r="M23" s="38"/>
    </row>
    <row r="24">
      <c r="A24" s="1" t="s">
        <v>536</v>
      </c>
      <c r="B24" s="1">
        <v>3.0</v>
      </c>
      <c r="C24" s="1">
        <v>0.0</v>
      </c>
      <c r="D24" s="1" t="s">
        <v>112</v>
      </c>
      <c r="E24" s="1" t="s">
        <v>132</v>
      </c>
      <c r="G24" s="1"/>
      <c r="J24" s="1" t="s">
        <v>21</v>
      </c>
      <c r="M24" s="38"/>
    </row>
    <row r="25">
      <c r="A25" s="1" t="s">
        <v>512</v>
      </c>
      <c r="B25" s="1">
        <v>3.0</v>
      </c>
      <c r="C25" s="1">
        <v>0.0</v>
      </c>
      <c r="D25" s="1" t="s">
        <v>112</v>
      </c>
      <c r="E25" s="1" t="s">
        <v>132</v>
      </c>
      <c r="G25" s="1"/>
      <c r="J25" s="1" t="s">
        <v>21</v>
      </c>
      <c r="M25" s="38"/>
    </row>
    <row r="26">
      <c r="A26" s="1" t="s">
        <v>611</v>
      </c>
      <c r="B26" s="1">
        <v>5.0</v>
      </c>
      <c r="C26" s="1">
        <v>50.0</v>
      </c>
      <c r="D26" s="1" t="s">
        <v>96</v>
      </c>
      <c r="E26" s="1" t="s">
        <v>132</v>
      </c>
      <c r="G26" s="1"/>
      <c r="J26" s="1" t="s">
        <v>34</v>
      </c>
      <c r="M26" s="38"/>
    </row>
    <row r="27">
      <c r="A27" s="1" t="s">
        <v>612</v>
      </c>
      <c r="B27" s="1">
        <v>1.0</v>
      </c>
      <c r="C27" s="1">
        <v>0.0</v>
      </c>
      <c r="D27" s="1" t="s">
        <v>112</v>
      </c>
      <c r="E27" s="1" t="s">
        <v>105</v>
      </c>
      <c r="G27" s="1"/>
      <c r="J27" s="1" t="s">
        <v>18</v>
      </c>
      <c r="M27" s="38"/>
    </row>
    <row r="28">
      <c r="A28" s="1" t="s">
        <v>932</v>
      </c>
      <c r="B28" s="1">
        <v>1.0</v>
      </c>
      <c r="C28" s="1">
        <f>450/3</f>
        <v>150</v>
      </c>
      <c r="D28" s="1" t="s">
        <v>112</v>
      </c>
      <c r="E28" s="1" t="s">
        <v>105</v>
      </c>
      <c r="G28" s="1"/>
      <c r="J28" s="1" t="s">
        <v>42</v>
      </c>
      <c r="K28" s="42">
        <v>44987.0</v>
      </c>
      <c r="M28" s="38"/>
    </row>
    <row r="29">
      <c r="A29" s="1" t="s">
        <v>956</v>
      </c>
      <c r="B29" s="1">
        <v>18.0</v>
      </c>
      <c r="C29" s="1">
        <v>498.0</v>
      </c>
      <c r="D29" s="1" t="s">
        <v>96</v>
      </c>
      <c r="E29" s="1" t="s">
        <v>105</v>
      </c>
      <c r="J29" s="1" t="s">
        <v>43</v>
      </c>
      <c r="M29" s="38"/>
    </row>
    <row r="30">
      <c r="A30" s="1" t="s">
        <v>862</v>
      </c>
      <c r="B30" s="1">
        <v>1.0</v>
      </c>
      <c r="C30" s="1">
        <v>0.0</v>
      </c>
      <c r="D30" s="1" t="s">
        <v>96</v>
      </c>
      <c r="E30" s="1" t="s">
        <v>105</v>
      </c>
      <c r="G30" s="1"/>
      <c r="J30" s="1" t="s">
        <v>28</v>
      </c>
      <c r="M30" s="38"/>
    </row>
    <row r="31">
      <c r="A31" s="1" t="s">
        <v>862</v>
      </c>
      <c r="B31" s="1">
        <v>1.0</v>
      </c>
      <c r="C31" s="1">
        <v>0.0</v>
      </c>
      <c r="D31" s="1" t="s">
        <v>96</v>
      </c>
      <c r="E31" s="1" t="s">
        <v>105</v>
      </c>
      <c r="G31" s="1"/>
      <c r="J31" s="1" t="s">
        <v>28</v>
      </c>
      <c r="M31" s="38"/>
    </row>
    <row r="32">
      <c r="A32" s="1" t="s">
        <v>467</v>
      </c>
      <c r="B32" s="1">
        <v>1.0</v>
      </c>
      <c r="C32" s="1">
        <v>0.0</v>
      </c>
      <c r="D32" s="1" t="s">
        <v>96</v>
      </c>
      <c r="E32" s="1" t="s">
        <v>105</v>
      </c>
      <c r="G32" s="1"/>
      <c r="J32" s="1" t="s">
        <v>18</v>
      </c>
      <c r="M32" s="38"/>
    </row>
    <row r="33">
      <c r="A33" s="1" t="s">
        <v>957</v>
      </c>
      <c r="B33" s="1">
        <v>1.0</v>
      </c>
      <c r="C33" s="1">
        <v>0.0</v>
      </c>
      <c r="D33" s="1" t="s">
        <v>96</v>
      </c>
      <c r="E33" s="1" t="s">
        <v>105</v>
      </c>
      <c r="G33" s="1"/>
      <c r="J33" s="1" t="s">
        <v>29</v>
      </c>
      <c r="M33" s="38"/>
    </row>
    <row r="34">
      <c r="A34" s="1" t="s">
        <v>958</v>
      </c>
      <c r="B34" s="1">
        <v>1.0</v>
      </c>
      <c r="C34" s="1">
        <v>0.0</v>
      </c>
      <c r="D34" s="1" t="s">
        <v>96</v>
      </c>
      <c r="E34" s="1" t="s">
        <v>117</v>
      </c>
      <c r="G34" s="1"/>
      <c r="J34" s="1" t="s">
        <v>34</v>
      </c>
      <c r="M34" s="38"/>
    </row>
    <row r="35">
      <c r="A35" s="1" t="s">
        <v>959</v>
      </c>
      <c r="B35" s="1">
        <v>1.0</v>
      </c>
      <c r="C35" s="1">
        <v>15.0</v>
      </c>
      <c r="D35" s="1" t="s">
        <v>96</v>
      </c>
      <c r="E35" s="1" t="s">
        <v>117</v>
      </c>
      <c r="G35" s="1"/>
      <c r="J35" s="1" t="s">
        <v>34</v>
      </c>
      <c r="M35" s="38"/>
    </row>
    <row r="36">
      <c r="A36" s="1" t="s">
        <v>960</v>
      </c>
      <c r="B36" s="1">
        <v>1.0</v>
      </c>
      <c r="C36" s="1">
        <v>15.0</v>
      </c>
      <c r="D36" s="1" t="s">
        <v>96</v>
      </c>
      <c r="E36" s="1" t="s">
        <v>117</v>
      </c>
      <c r="G36" s="1"/>
      <c r="J36" s="1" t="s">
        <v>34</v>
      </c>
      <c r="M36" s="38"/>
    </row>
    <row r="37">
      <c r="A37" s="1" t="s">
        <v>271</v>
      </c>
      <c r="B37" s="1">
        <v>1.0</v>
      </c>
      <c r="C37" s="1">
        <v>35.99</v>
      </c>
      <c r="D37" s="1" t="s">
        <v>96</v>
      </c>
      <c r="E37" s="1" t="s">
        <v>117</v>
      </c>
      <c r="G37" s="1"/>
      <c r="J37" s="1" t="s">
        <v>29</v>
      </c>
      <c r="M37" s="38"/>
    </row>
    <row r="38">
      <c r="A38" s="1" t="s">
        <v>831</v>
      </c>
      <c r="B38" s="1">
        <v>4.0</v>
      </c>
      <c r="C38" s="1">
        <v>24.99</v>
      </c>
      <c r="D38" s="1" t="s">
        <v>96</v>
      </c>
      <c r="E38" s="1" t="s">
        <v>117</v>
      </c>
      <c r="G38" s="1"/>
      <c r="J38" s="1" t="s">
        <v>33</v>
      </c>
      <c r="M38" s="38"/>
    </row>
    <row r="39">
      <c r="A39" s="1" t="s">
        <v>809</v>
      </c>
      <c r="B39" s="1">
        <v>6.0</v>
      </c>
      <c r="C39" s="1">
        <v>38.58</v>
      </c>
      <c r="D39" s="1" t="s">
        <v>96</v>
      </c>
      <c r="E39" s="1" t="s">
        <v>117</v>
      </c>
      <c r="G39" s="1"/>
      <c r="J39" s="1" t="s">
        <v>18</v>
      </c>
      <c r="M39" s="38"/>
    </row>
    <row r="40">
      <c r="A40" s="1" t="s">
        <v>18</v>
      </c>
      <c r="B40" s="1">
        <v>6.0</v>
      </c>
      <c r="C40" s="1">
        <v>25.68</v>
      </c>
      <c r="D40" s="1" t="s">
        <v>96</v>
      </c>
      <c r="E40" s="1" t="s">
        <v>117</v>
      </c>
      <c r="G40" s="1"/>
      <c r="J40" s="1" t="s">
        <v>18</v>
      </c>
      <c r="M40" s="38"/>
    </row>
    <row r="41">
      <c r="A41" s="1" t="s">
        <v>261</v>
      </c>
      <c r="B41" s="1">
        <v>7.0</v>
      </c>
      <c r="C41" s="1">
        <v>4.98</v>
      </c>
      <c r="D41" s="1" t="s">
        <v>96</v>
      </c>
      <c r="E41" s="1" t="s">
        <v>117</v>
      </c>
      <c r="G41" s="1"/>
      <c r="J41" s="1" t="s">
        <v>29</v>
      </c>
      <c r="M41" s="38"/>
    </row>
    <row r="42">
      <c r="A42" s="1" t="s">
        <v>903</v>
      </c>
      <c r="B42" s="1">
        <v>8.0</v>
      </c>
      <c r="C42" s="1">
        <v>12.0</v>
      </c>
      <c r="D42" s="1" t="s">
        <v>96</v>
      </c>
      <c r="E42" s="1" t="s">
        <v>117</v>
      </c>
      <c r="G42" s="1"/>
      <c r="J42" s="1" t="s">
        <v>24</v>
      </c>
      <c r="M42" s="38"/>
    </row>
    <row r="43">
      <c r="A43" s="1" t="s">
        <v>961</v>
      </c>
      <c r="B43" s="1">
        <v>8.0</v>
      </c>
      <c r="C43" s="1">
        <v>60.0</v>
      </c>
      <c r="D43" s="1" t="s">
        <v>96</v>
      </c>
      <c r="E43" s="1" t="s">
        <v>117</v>
      </c>
      <c r="G43" s="1"/>
      <c r="J43" s="1" t="s">
        <v>15</v>
      </c>
      <c r="M43" s="36" t="s">
        <v>43</v>
      </c>
    </row>
    <row r="44">
      <c r="A44" s="1" t="s">
        <v>346</v>
      </c>
      <c r="B44" s="1">
        <v>8.0</v>
      </c>
      <c r="C44" s="1">
        <v>12.9</v>
      </c>
      <c r="D44" s="1" t="s">
        <v>96</v>
      </c>
      <c r="E44" s="1" t="s">
        <v>117</v>
      </c>
      <c r="G44" s="1"/>
      <c r="J44" s="1" t="s">
        <v>34</v>
      </c>
      <c r="M44" s="38"/>
    </row>
    <row r="45">
      <c r="A45" s="1" t="s">
        <v>154</v>
      </c>
      <c r="B45" s="1">
        <v>10.0</v>
      </c>
      <c r="C45" s="1">
        <v>4.0</v>
      </c>
      <c r="D45" s="1" t="s">
        <v>96</v>
      </c>
      <c r="E45" s="1" t="s">
        <v>117</v>
      </c>
      <c r="G45" s="1"/>
      <c r="J45" s="1" t="s">
        <v>39</v>
      </c>
      <c r="M45" s="38"/>
    </row>
    <row r="46">
      <c r="A46" s="1" t="s">
        <v>154</v>
      </c>
      <c r="B46" s="1">
        <v>11.0</v>
      </c>
      <c r="C46" s="1">
        <v>4.0</v>
      </c>
      <c r="D46" s="1" t="s">
        <v>96</v>
      </c>
      <c r="E46" s="1" t="s">
        <v>117</v>
      </c>
      <c r="G46" s="1"/>
      <c r="J46" s="1" t="s">
        <v>41</v>
      </c>
      <c r="M46" s="38"/>
    </row>
    <row r="47">
      <c r="A47" s="1" t="s">
        <v>957</v>
      </c>
      <c r="B47" s="1">
        <v>11.0</v>
      </c>
      <c r="C47" s="1">
        <v>226.03</v>
      </c>
      <c r="D47" s="1" t="s">
        <v>96</v>
      </c>
      <c r="E47" s="1" t="s">
        <v>117</v>
      </c>
      <c r="G47" s="1"/>
      <c r="J47" s="1" t="s">
        <v>29</v>
      </c>
      <c r="M47" s="38"/>
    </row>
    <row r="48">
      <c r="A48" s="1" t="s">
        <v>25</v>
      </c>
      <c r="B48" s="1">
        <v>12.0</v>
      </c>
      <c r="C48" s="1">
        <v>33.24</v>
      </c>
      <c r="D48" s="1" t="s">
        <v>96</v>
      </c>
      <c r="E48" s="1" t="s">
        <v>117</v>
      </c>
      <c r="G48" s="1"/>
      <c r="J48" s="1" t="s">
        <v>25</v>
      </c>
      <c r="M48" s="38"/>
    </row>
    <row r="49">
      <c r="A49" s="1" t="s">
        <v>962</v>
      </c>
      <c r="B49" s="1">
        <v>12.0</v>
      </c>
      <c r="C49" s="1">
        <v>230.0</v>
      </c>
      <c r="D49" s="1" t="s">
        <v>96</v>
      </c>
      <c r="E49" s="1" t="s">
        <v>117</v>
      </c>
      <c r="G49" s="1"/>
      <c r="J49" s="1" t="s">
        <v>28</v>
      </c>
      <c r="M49" s="38"/>
    </row>
    <row r="50">
      <c r="A50" s="1" t="s">
        <v>963</v>
      </c>
      <c r="B50" s="1">
        <v>13.0</v>
      </c>
      <c r="C50" s="1">
        <v>120.0</v>
      </c>
      <c r="D50" s="1" t="s">
        <v>96</v>
      </c>
      <c r="E50" s="1" t="s">
        <v>117</v>
      </c>
      <c r="G50" s="1"/>
      <c r="J50" s="1" t="s">
        <v>40</v>
      </c>
      <c r="M50" s="38"/>
    </row>
    <row r="51">
      <c r="A51" s="1" t="s">
        <v>809</v>
      </c>
      <c r="B51" s="1">
        <v>14.0</v>
      </c>
      <c r="C51" s="1">
        <v>38.92</v>
      </c>
      <c r="D51" s="1" t="s">
        <v>96</v>
      </c>
      <c r="E51" s="1" t="s">
        <v>117</v>
      </c>
      <c r="G51" s="1"/>
      <c r="J51" s="1" t="s">
        <v>18</v>
      </c>
      <c r="M51" s="38"/>
    </row>
    <row r="52">
      <c r="A52" s="1" t="s">
        <v>39</v>
      </c>
      <c r="B52" s="1">
        <v>14.0</v>
      </c>
      <c r="C52" s="1">
        <v>4.0</v>
      </c>
      <c r="D52" s="1" t="s">
        <v>96</v>
      </c>
      <c r="E52" s="1" t="s">
        <v>117</v>
      </c>
      <c r="G52" s="1"/>
      <c r="J52" s="1" t="s">
        <v>39</v>
      </c>
      <c r="M52" s="38"/>
    </row>
    <row r="53">
      <c r="A53" s="1" t="s">
        <v>963</v>
      </c>
      <c r="B53" s="1">
        <v>14.0</v>
      </c>
      <c r="C53" s="1">
        <v>126.0</v>
      </c>
      <c r="D53" s="1" t="s">
        <v>96</v>
      </c>
      <c r="E53" s="1" t="s">
        <v>117</v>
      </c>
      <c r="G53" s="1"/>
      <c r="J53" s="1" t="s">
        <v>40</v>
      </c>
      <c r="M53" s="38"/>
    </row>
    <row r="54">
      <c r="A54" s="1" t="s">
        <v>964</v>
      </c>
      <c r="B54" s="1">
        <v>14.0</v>
      </c>
      <c r="C54" s="1">
        <v>29.9</v>
      </c>
      <c r="D54" s="1" t="s">
        <v>96</v>
      </c>
      <c r="E54" s="1" t="s">
        <v>117</v>
      </c>
      <c r="G54" s="1"/>
      <c r="J54" s="1" t="s">
        <v>40</v>
      </c>
      <c r="M54" s="38"/>
    </row>
    <row r="55">
      <c r="A55" s="1" t="s">
        <v>965</v>
      </c>
      <c r="B55" s="1">
        <v>14.0</v>
      </c>
      <c r="C55" s="1">
        <v>345.86</v>
      </c>
      <c r="D55" s="1" t="s">
        <v>96</v>
      </c>
      <c r="E55" s="1" t="s">
        <v>117</v>
      </c>
      <c r="G55" s="1"/>
      <c r="J55" s="1" t="s">
        <v>28</v>
      </c>
      <c r="M55" s="38"/>
    </row>
    <row r="56">
      <c r="A56" s="1" t="s">
        <v>161</v>
      </c>
      <c r="B56" s="1">
        <v>14.0</v>
      </c>
      <c r="C56" s="1">
        <v>182.6</v>
      </c>
      <c r="D56" s="1" t="s">
        <v>96</v>
      </c>
      <c r="E56" s="1" t="s">
        <v>117</v>
      </c>
      <c r="G56" s="1"/>
      <c r="J56" s="1" t="s">
        <v>29</v>
      </c>
      <c r="M56" s="38"/>
    </row>
    <row r="57">
      <c r="A57" s="1" t="s">
        <v>966</v>
      </c>
      <c r="B57" s="1">
        <v>15.0</v>
      </c>
      <c r="C57" s="1">
        <v>58.0</v>
      </c>
      <c r="D57" s="1" t="s">
        <v>96</v>
      </c>
      <c r="E57" s="1" t="s">
        <v>117</v>
      </c>
      <c r="G57" s="1"/>
      <c r="J57" s="1" t="s">
        <v>28</v>
      </c>
      <c r="M57" s="38"/>
    </row>
    <row r="58">
      <c r="A58" s="1" t="s">
        <v>967</v>
      </c>
      <c r="B58" s="1">
        <v>15.0</v>
      </c>
      <c r="C58" s="1">
        <v>33.99</v>
      </c>
      <c r="D58" s="1" t="s">
        <v>96</v>
      </c>
      <c r="E58" s="1" t="s">
        <v>117</v>
      </c>
      <c r="G58" s="1"/>
      <c r="J58" s="1" t="s">
        <v>28</v>
      </c>
      <c r="M58" s="38"/>
    </row>
    <row r="59">
      <c r="A59" s="1" t="s">
        <v>968</v>
      </c>
      <c r="B59" s="1">
        <v>15.0</v>
      </c>
      <c r="C59" s="1">
        <v>28.0</v>
      </c>
      <c r="D59" s="1" t="s">
        <v>96</v>
      </c>
      <c r="E59" s="1" t="s">
        <v>117</v>
      </c>
      <c r="G59" s="1"/>
      <c r="J59" s="1" t="s">
        <v>38</v>
      </c>
      <c r="M59" s="38"/>
    </row>
    <row r="60">
      <c r="A60" s="1" t="s">
        <v>969</v>
      </c>
      <c r="B60" s="1">
        <v>16.0</v>
      </c>
      <c r="C60" s="1">
        <v>14.9</v>
      </c>
      <c r="D60" s="1" t="s">
        <v>96</v>
      </c>
      <c r="E60" s="1" t="s">
        <v>117</v>
      </c>
      <c r="G60" s="1"/>
      <c r="J60" s="1" t="s">
        <v>18</v>
      </c>
      <c r="M60" s="38"/>
    </row>
    <row r="61">
      <c r="A61" s="1" t="s">
        <v>970</v>
      </c>
      <c r="B61" s="1">
        <v>17.0</v>
      </c>
      <c r="C61" s="1">
        <v>44.0</v>
      </c>
      <c r="D61" s="1" t="s">
        <v>96</v>
      </c>
      <c r="E61" s="1" t="s">
        <v>117</v>
      </c>
      <c r="G61" s="1"/>
      <c r="J61" s="1" t="s">
        <v>38</v>
      </c>
      <c r="M61" s="38"/>
    </row>
    <row r="62">
      <c r="A62" s="1" t="s">
        <v>153</v>
      </c>
      <c r="B62" s="1">
        <v>17.0</v>
      </c>
      <c r="C62" s="1">
        <v>46.94</v>
      </c>
      <c r="D62" s="1" t="s">
        <v>96</v>
      </c>
      <c r="E62" s="1" t="s">
        <v>117</v>
      </c>
      <c r="G62" s="1"/>
      <c r="J62" s="1" t="s">
        <v>33</v>
      </c>
      <c r="M62" s="38"/>
    </row>
    <row r="63">
      <c r="A63" s="1" t="s">
        <v>971</v>
      </c>
      <c r="B63" s="1">
        <v>17.0</v>
      </c>
      <c r="C63" s="1">
        <v>14.15</v>
      </c>
      <c r="D63" s="1" t="s">
        <v>96</v>
      </c>
      <c r="E63" s="1" t="s">
        <v>117</v>
      </c>
      <c r="G63" s="1"/>
      <c r="J63" s="1" t="s">
        <v>33</v>
      </c>
      <c r="M63" s="38"/>
    </row>
    <row r="64">
      <c r="A64" s="1" t="s">
        <v>972</v>
      </c>
      <c r="B64" s="1">
        <v>17.0</v>
      </c>
      <c r="C64" s="1">
        <v>32.9</v>
      </c>
      <c r="D64" s="1" t="s">
        <v>96</v>
      </c>
      <c r="E64" s="1" t="s">
        <v>117</v>
      </c>
      <c r="G64" s="1"/>
      <c r="J64" s="1" t="s">
        <v>28</v>
      </c>
      <c r="M64" s="38"/>
    </row>
    <row r="65">
      <c r="A65" s="1" t="s">
        <v>973</v>
      </c>
      <c r="B65" s="1">
        <v>17.0</v>
      </c>
      <c r="C65" s="1">
        <v>16.0</v>
      </c>
      <c r="D65" s="1" t="s">
        <v>96</v>
      </c>
      <c r="E65" s="1" t="s">
        <v>117</v>
      </c>
      <c r="G65" s="1"/>
      <c r="J65" s="1" t="s">
        <v>29</v>
      </c>
      <c r="M65" s="38"/>
    </row>
    <row r="66">
      <c r="A66" s="1" t="s">
        <v>974</v>
      </c>
      <c r="B66" s="1">
        <v>18.0</v>
      </c>
      <c r="C66" s="37">
        <v>824.0</v>
      </c>
      <c r="D66" s="1" t="s">
        <v>96</v>
      </c>
      <c r="E66" s="1" t="s">
        <v>117</v>
      </c>
      <c r="G66" s="1"/>
      <c r="J66" s="1" t="s">
        <v>43</v>
      </c>
      <c r="M66" s="38"/>
    </row>
    <row r="67">
      <c r="A67" s="1" t="s">
        <v>975</v>
      </c>
      <c r="B67" s="1">
        <v>19.0</v>
      </c>
      <c r="C67" s="37">
        <v>42.0</v>
      </c>
      <c r="D67" s="1" t="s">
        <v>96</v>
      </c>
      <c r="E67" s="1" t="s">
        <v>117</v>
      </c>
      <c r="G67" s="1"/>
      <c r="J67" s="1" t="s">
        <v>42</v>
      </c>
      <c r="M67" s="38"/>
    </row>
    <row r="68">
      <c r="A68" s="1" t="s">
        <v>870</v>
      </c>
      <c r="B68" s="1">
        <v>19.0</v>
      </c>
      <c r="C68" s="37">
        <v>120.0</v>
      </c>
      <c r="D68" s="1" t="s">
        <v>96</v>
      </c>
      <c r="E68" s="1" t="s">
        <v>117</v>
      </c>
      <c r="G68" s="1"/>
      <c r="J68" s="1" t="s">
        <v>42</v>
      </c>
      <c r="M68" s="38"/>
    </row>
    <row r="69">
      <c r="A69" s="1" t="s">
        <v>976</v>
      </c>
      <c r="B69" s="1">
        <v>19.0</v>
      </c>
      <c r="C69" s="37">
        <v>33.96</v>
      </c>
      <c r="D69" s="1" t="s">
        <v>96</v>
      </c>
      <c r="E69" s="1" t="s">
        <v>117</v>
      </c>
      <c r="G69" s="1"/>
      <c r="J69" s="1" t="s">
        <v>43</v>
      </c>
      <c r="M69" s="36" t="s">
        <v>476</v>
      </c>
    </row>
    <row r="70">
      <c r="A70" s="1" t="s">
        <v>390</v>
      </c>
      <c r="B70" s="1">
        <v>19.0</v>
      </c>
      <c r="C70" s="1">
        <v>519.4</v>
      </c>
      <c r="D70" s="1" t="s">
        <v>96</v>
      </c>
      <c r="E70" s="1" t="s">
        <v>117</v>
      </c>
      <c r="G70" s="1"/>
      <c r="J70" s="1" t="s">
        <v>43</v>
      </c>
      <c r="M70" s="36" t="s">
        <v>476</v>
      </c>
    </row>
    <row r="71">
      <c r="A71" s="1" t="s">
        <v>977</v>
      </c>
      <c r="B71" s="1">
        <v>19.0</v>
      </c>
      <c r="C71" s="1">
        <v>29.9</v>
      </c>
      <c r="D71" s="1" t="s">
        <v>96</v>
      </c>
      <c r="E71" s="1" t="s">
        <v>117</v>
      </c>
      <c r="G71" s="1"/>
      <c r="J71" s="1" t="s">
        <v>43</v>
      </c>
      <c r="M71" s="36" t="s">
        <v>476</v>
      </c>
    </row>
    <row r="72">
      <c r="A72" s="1" t="s">
        <v>165</v>
      </c>
      <c r="B72" s="1">
        <v>19.0</v>
      </c>
      <c r="C72" s="1">
        <v>166.24</v>
      </c>
      <c r="D72" s="1" t="s">
        <v>96</v>
      </c>
      <c r="E72" s="1" t="s">
        <v>117</v>
      </c>
      <c r="J72" s="1" t="s">
        <v>43</v>
      </c>
      <c r="M72" s="36" t="s">
        <v>476</v>
      </c>
    </row>
    <row r="73">
      <c r="A73" s="1" t="s">
        <v>809</v>
      </c>
      <c r="B73" s="1">
        <v>20.0</v>
      </c>
      <c r="C73" s="1">
        <v>59.5</v>
      </c>
      <c r="D73" s="1" t="s">
        <v>96</v>
      </c>
      <c r="E73" s="1" t="s">
        <v>117</v>
      </c>
      <c r="J73" s="1" t="s">
        <v>43</v>
      </c>
      <c r="M73" s="36" t="s">
        <v>476</v>
      </c>
    </row>
    <row r="74">
      <c r="A74" s="1" t="s">
        <v>812</v>
      </c>
      <c r="B74" s="1">
        <v>20.0</v>
      </c>
      <c r="C74" s="1">
        <v>50.0</v>
      </c>
      <c r="D74" s="1" t="s">
        <v>96</v>
      </c>
      <c r="E74" s="1" t="s">
        <v>117</v>
      </c>
      <c r="J74" s="1" t="s">
        <v>43</v>
      </c>
      <c r="M74" s="36" t="s">
        <v>476</v>
      </c>
    </row>
    <row r="75">
      <c r="A75" s="1" t="s">
        <v>897</v>
      </c>
      <c r="B75" s="1">
        <v>20.0</v>
      </c>
      <c r="C75" s="1">
        <v>17.3</v>
      </c>
      <c r="D75" s="1" t="s">
        <v>96</v>
      </c>
      <c r="E75" s="1" t="s">
        <v>117</v>
      </c>
      <c r="J75" s="1" t="s">
        <v>43</v>
      </c>
      <c r="M75" s="36" t="s">
        <v>476</v>
      </c>
    </row>
    <row r="76">
      <c r="A76" s="1" t="s">
        <v>339</v>
      </c>
      <c r="B76" s="1">
        <v>20.0</v>
      </c>
      <c r="C76" s="1">
        <v>63.25</v>
      </c>
      <c r="D76" s="1" t="s">
        <v>96</v>
      </c>
      <c r="E76" s="1" t="s">
        <v>117</v>
      </c>
      <c r="J76" s="1" t="s">
        <v>43</v>
      </c>
      <c r="M76" s="36" t="s">
        <v>476</v>
      </c>
    </row>
    <row r="77">
      <c r="A77" s="1" t="s">
        <v>340</v>
      </c>
      <c r="B77" s="1">
        <v>20.0</v>
      </c>
      <c r="C77" s="1">
        <v>56.9</v>
      </c>
      <c r="D77" s="1" t="s">
        <v>96</v>
      </c>
      <c r="E77" s="1" t="s">
        <v>117</v>
      </c>
      <c r="J77" s="1" t="s">
        <v>43</v>
      </c>
      <c r="M77" s="36" t="s">
        <v>476</v>
      </c>
    </row>
    <row r="78">
      <c r="A78" s="1" t="s">
        <v>978</v>
      </c>
      <c r="B78" s="1">
        <v>21.0</v>
      </c>
      <c r="C78" s="1">
        <v>15.95</v>
      </c>
      <c r="D78" s="1" t="s">
        <v>96</v>
      </c>
      <c r="E78" s="1" t="s">
        <v>117</v>
      </c>
      <c r="J78" s="1" t="s">
        <v>43</v>
      </c>
      <c r="M78" s="36" t="s">
        <v>476</v>
      </c>
    </row>
    <row r="79">
      <c r="A79" s="1" t="s">
        <v>979</v>
      </c>
      <c r="B79" s="1">
        <v>21.0</v>
      </c>
      <c r="C79" s="1">
        <v>328.9</v>
      </c>
      <c r="D79" s="1" t="s">
        <v>96</v>
      </c>
      <c r="E79" s="1" t="s">
        <v>117</v>
      </c>
      <c r="J79" s="1" t="s">
        <v>43</v>
      </c>
      <c r="M79" s="36" t="s">
        <v>476</v>
      </c>
    </row>
    <row r="80">
      <c r="A80" s="1" t="s">
        <v>264</v>
      </c>
      <c r="B80" s="1">
        <v>21.0</v>
      </c>
      <c r="C80" s="1">
        <v>15.0</v>
      </c>
      <c r="D80" s="1" t="s">
        <v>96</v>
      </c>
      <c r="E80" s="1" t="s">
        <v>117</v>
      </c>
      <c r="J80" s="1" t="s">
        <v>43</v>
      </c>
      <c r="M80" s="36" t="s">
        <v>476</v>
      </c>
    </row>
    <row r="81">
      <c r="A81" s="1" t="s">
        <v>263</v>
      </c>
      <c r="B81" s="1">
        <v>21.0</v>
      </c>
      <c r="C81" s="1">
        <v>10.0</v>
      </c>
      <c r="D81" s="1" t="s">
        <v>96</v>
      </c>
      <c r="E81" s="1" t="s">
        <v>117</v>
      </c>
      <c r="J81" s="1" t="s">
        <v>43</v>
      </c>
      <c r="M81" s="36" t="s">
        <v>476</v>
      </c>
    </row>
    <row r="82">
      <c r="A82" s="1" t="s">
        <v>949</v>
      </c>
      <c r="B82" s="1">
        <v>21.0</v>
      </c>
      <c r="C82" s="1">
        <v>26.37</v>
      </c>
      <c r="D82" s="1" t="s">
        <v>96</v>
      </c>
      <c r="E82" s="1" t="s">
        <v>117</v>
      </c>
      <c r="J82" s="1" t="s">
        <v>43</v>
      </c>
      <c r="M82" s="36" t="s">
        <v>476</v>
      </c>
    </row>
    <row r="83">
      <c r="A83" s="1" t="s">
        <v>980</v>
      </c>
      <c r="B83" s="1">
        <v>21.0</v>
      </c>
      <c r="C83" s="1">
        <v>65.44</v>
      </c>
      <c r="D83" s="1" t="s">
        <v>96</v>
      </c>
      <c r="E83" s="1" t="s">
        <v>117</v>
      </c>
      <c r="J83" s="1" t="s">
        <v>43</v>
      </c>
      <c r="M83" s="36" t="s">
        <v>476</v>
      </c>
    </row>
    <row r="84">
      <c r="A84" s="1" t="s">
        <v>340</v>
      </c>
      <c r="B84" s="1">
        <v>21.0</v>
      </c>
      <c r="C84" s="1">
        <v>20.4</v>
      </c>
      <c r="D84" s="1" t="s">
        <v>96</v>
      </c>
      <c r="E84" s="1" t="s">
        <v>117</v>
      </c>
      <c r="J84" s="1" t="s">
        <v>43</v>
      </c>
      <c r="M84" s="36" t="s">
        <v>476</v>
      </c>
    </row>
    <row r="85">
      <c r="A85" s="1" t="s">
        <v>981</v>
      </c>
      <c r="B85" s="1">
        <v>21.0</v>
      </c>
      <c r="C85" s="1">
        <v>101.75</v>
      </c>
      <c r="D85" s="1" t="s">
        <v>96</v>
      </c>
      <c r="E85" s="1" t="s">
        <v>117</v>
      </c>
      <c r="J85" s="1" t="s">
        <v>43</v>
      </c>
      <c r="M85" s="36" t="s">
        <v>476</v>
      </c>
    </row>
    <row r="86">
      <c r="A86" s="1" t="s">
        <v>982</v>
      </c>
      <c r="B86" s="1">
        <v>22.0</v>
      </c>
      <c r="C86" s="1">
        <v>59.19</v>
      </c>
      <c r="D86" s="1" t="s">
        <v>96</v>
      </c>
      <c r="E86" s="1" t="s">
        <v>117</v>
      </c>
      <c r="J86" s="1" t="s">
        <v>43</v>
      </c>
      <c r="M86" s="38"/>
    </row>
    <row r="87">
      <c r="A87" s="1" t="s">
        <v>165</v>
      </c>
      <c r="B87" s="1">
        <v>22.0</v>
      </c>
      <c r="C87" s="1">
        <v>208.47</v>
      </c>
      <c r="D87" s="1" t="s">
        <v>96</v>
      </c>
      <c r="E87" s="1" t="s">
        <v>117</v>
      </c>
      <c r="J87" s="1" t="s">
        <v>29</v>
      </c>
      <c r="M87" s="38"/>
    </row>
    <row r="88">
      <c r="A88" s="1" t="s">
        <v>862</v>
      </c>
      <c r="B88" s="1">
        <v>23.0</v>
      </c>
      <c r="C88" s="1">
        <v>160.0</v>
      </c>
      <c r="D88" s="1" t="s">
        <v>96</v>
      </c>
      <c r="E88" s="1" t="s">
        <v>117</v>
      </c>
      <c r="J88" s="1" t="s">
        <v>28</v>
      </c>
      <c r="M88" s="38"/>
    </row>
    <row r="89">
      <c r="A89" s="1" t="s">
        <v>262</v>
      </c>
      <c r="B89" s="1">
        <v>23.0</v>
      </c>
      <c r="C89" s="1">
        <v>33.78</v>
      </c>
      <c r="D89" s="1" t="s">
        <v>96</v>
      </c>
      <c r="E89" s="1" t="s">
        <v>117</v>
      </c>
      <c r="J89" s="1" t="s">
        <v>28</v>
      </c>
      <c r="M89" s="38"/>
    </row>
    <row r="90">
      <c r="A90" s="1" t="s">
        <v>983</v>
      </c>
      <c r="B90" s="1">
        <v>23.0</v>
      </c>
      <c r="C90" s="1">
        <v>87.35</v>
      </c>
      <c r="D90" s="1" t="s">
        <v>96</v>
      </c>
      <c r="E90" s="1" t="s">
        <v>117</v>
      </c>
      <c r="J90" s="1" t="s">
        <v>28</v>
      </c>
      <c r="M90" s="38"/>
    </row>
    <row r="91">
      <c r="A91" s="1" t="s">
        <v>984</v>
      </c>
      <c r="B91" s="1">
        <v>23.0</v>
      </c>
      <c r="C91" s="1">
        <v>310.16</v>
      </c>
      <c r="D91" s="1" t="s">
        <v>96</v>
      </c>
      <c r="E91" s="1" t="s">
        <v>117</v>
      </c>
      <c r="J91" s="1" t="s">
        <v>28</v>
      </c>
      <c r="M91" s="38"/>
    </row>
    <row r="92">
      <c r="A92" s="1" t="s">
        <v>985</v>
      </c>
      <c r="B92" s="1">
        <v>24.0</v>
      </c>
      <c r="C92" s="1">
        <v>645.0</v>
      </c>
      <c r="D92" s="1" t="s">
        <v>96</v>
      </c>
      <c r="E92" s="1" t="s">
        <v>156</v>
      </c>
      <c r="J92" s="1" t="s">
        <v>43</v>
      </c>
      <c r="M92" s="38"/>
    </row>
    <row r="93">
      <c r="A93" s="1" t="s">
        <v>986</v>
      </c>
      <c r="B93" s="1">
        <v>24.0</v>
      </c>
      <c r="C93" s="1">
        <v>731.0</v>
      </c>
      <c r="E93" s="1" t="s">
        <v>117</v>
      </c>
      <c r="J93" s="1" t="s">
        <v>28</v>
      </c>
      <c r="M93" s="38"/>
    </row>
    <row r="94">
      <c r="A94" s="1" t="s">
        <v>987</v>
      </c>
      <c r="B94" s="1">
        <v>27.0</v>
      </c>
      <c r="C94" s="1">
        <v>29.99</v>
      </c>
      <c r="E94" s="1" t="s">
        <v>117</v>
      </c>
      <c r="J94" s="1" t="s">
        <v>31</v>
      </c>
      <c r="M94" s="38"/>
    </row>
    <row r="95">
      <c r="A95" s="1" t="s">
        <v>153</v>
      </c>
      <c r="B95" s="1">
        <v>27.0</v>
      </c>
      <c r="C95" s="1">
        <v>210.28</v>
      </c>
      <c r="E95" s="1" t="s">
        <v>117</v>
      </c>
      <c r="J95" s="1" t="s">
        <v>40</v>
      </c>
      <c r="M95" s="38"/>
    </row>
    <row r="96">
      <c r="A96" s="1" t="s">
        <v>448</v>
      </c>
      <c r="B96" s="1">
        <v>27.0</v>
      </c>
      <c r="C96" s="1">
        <v>75.92</v>
      </c>
      <c r="E96" s="1" t="s">
        <v>117</v>
      </c>
      <c r="J96" s="1" t="s">
        <v>28</v>
      </c>
      <c r="M96" s="38"/>
    </row>
    <row r="97">
      <c r="A97" s="1" t="s">
        <v>262</v>
      </c>
      <c r="B97" s="1">
        <v>27.0</v>
      </c>
      <c r="C97" s="1">
        <v>50.44</v>
      </c>
      <c r="E97" s="1" t="s">
        <v>117</v>
      </c>
      <c r="J97" s="1" t="s">
        <v>28</v>
      </c>
      <c r="M97" s="38"/>
    </row>
    <row r="98">
      <c r="A98" s="1" t="s">
        <v>271</v>
      </c>
      <c r="B98" s="1">
        <v>27.0</v>
      </c>
      <c r="C98" s="1">
        <v>32.4</v>
      </c>
      <c r="E98" s="1" t="s">
        <v>117</v>
      </c>
      <c r="J98" s="1" t="s">
        <v>29</v>
      </c>
      <c r="M98" s="38"/>
    </row>
    <row r="99">
      <c r="A99" s="1" t="s">
        <v>271</v>
      </c>
      <c r="B99" s="1">
        <v>27.0</v>
      </c>
      <c r="C99" s="1">
        <v>25.68</v>
      </c>
      <c r="E99" s="1" t="s">
        <v>117</v>
      </c>
      <c r="J99" s="1" t="s">
        <v>29</v>
      </c>
      <c r="M99" s="38"/>
    </row>
    <row r="100">
      <c r="A100" s="1" t="s">
        <v>988</v>
      </c>
      <c r="B100" s="1">
        <v>27.0</v>
      </c>
      <c r="C100" s="1">
        <v>129.99</v>
      </c>
      <c r="E100" s="1" t="s">
        <v>117</v>
      </c>
      <c r="J100" s="1" t="s">
        <v>40</v>
      </c>
      <c r="M100" s="38"/>
    </row>
    <row r="101">
      <c r="A101" s="1" t="s">
        <v>165</v>
      </c>
      <c r="B101" s="1">
        <v>27.0</v>
      </c>
      <c r="C101" s="1">
        <v>229.83</v>
      </c>
      <c r="E101" s="1" t="s">
        <v>117</v>
      </c>
      <c r="J101" s="1" t="s">
        <v>29</v>
      </c>
      <c r="M101" s="38"/>
    </row>
    <row r="102">
      <c r="A102" s="1" t="s">
        <v>989</v>
      </c>
      <c r="B102" s="1">
        <v>28.0</v>
      </c>
      <c r="C102" s="1">
        <v>110.0</v>
      </c>
      <c r="E102" s="1" t="s">
        <v>117</v>
      </c>
      <c r="J102" s="1" t="s">
        <v>43</v>
      </c>
      <c r="M102" s="38"/>
    </row>
    <row r="103">
      <c r="A103" s="1" t="s">
        <v>990</v>
      </c>
      <c r="B103" s="1">
        <v>28.0</v>
      </c>
      <c r="C103" s="1">
        <v>7.99</v>
      </c>
      <c r="E103" s="1" t="s">
        <v>117</v>
      </c>
      <c r="J103" s="1" t="s">
        <v>43</v>
      </c>
      <c r="M103" s="38"/>
    </row>
    <row r="104">
      <c r="A104" s="1" t="s">
        <v>991</v>
      </c>
      <c r="B104" s="1">
        <v>28.0</v>
      </c>
      <c r="C104" s="1">
        <v>20.0</v>
      </c>
      <c r="E104" s="1" t="s">
        <v>117</v>
      </c>
      <c r="J104" s="1" t="s">
        <v>43</v>
      </c>
      <c r="M104" s="38"/>
    </row>
    <row r="105">
      <c r="A105" s="1" t="s">
        <v>992</v>
      </c>
      <c r="B105" s="1">
        <v>28.0</v>
      </c>
      <c r="C105" s="1">
        <v>20.0</v>
      </c>
      <c r="E105" s="1" t="s">
        <v>117</v>
      </c>
      <c r="J105" s="1" t="s">
        <v>43</v>
      </c>
      <c r="M105" s="38"/>
    </row>
    <row r="106">
      <c r="A106" s="1" t="s">
        <v>897</v>
      </c>
      <c r="B106" s="1">
        <v>28.0</v>
      </c>
      <c r="C106" s="1">
        <v>17.3</v>
      </c>
      <c r="E106" s="1" t="s">
        <v>117</v>
      </c>
      <c r="J106" s="1" t="s">
        <v>43</v>
      </c>
      <c r="M106" s="38"/>
    </row>
    <row r="107">
      <c r="A107" s="1" t="s">
        <v>993</v>
      </c>
      <c r="B107" s="1">
        <v>29.0</v>
      </c>
      <c r="C107" s="1">
        <v>35.0</v>
      </c>
      <c r="E107" s="1" t="s">
        <v>117</v>
      </c>
      <c r="J107" s="1" t="s">
        <v>43</v>
      </c>
      <c r="M107" s="38"/>
    </row>
    <row r="108">
      <c r="A108" s="1" t="s">
        <v>261</v>
      </c>
      <c r="B108" s="1">
        <v>29.0</v>
      </c>
      <c r="C108" s="1">
        <v>53.8</v>
      </c>
      <c r="E108" s="1" t="s">
        <v>117</v>
      </c>
      <c r="J108" s="1" t="s">
        <v>29</v>
      </c>
      <c r="M108" s="38"/>
    </row>
    <row r="109">
      <c r="A109" s="1" t="s">
        <v>994</v>
      </c>
      <c r="B109" s="1">
        <v>29.0</v>
      </c>
      <c r="C109" s="1">
        <v>27.99</v>
      </c>
      <c r="E109" s="1" t="s">
        <v>117</v>
      </c>
      <c r="J109" s="1" t="s">
        <v>40</v>
      </c>
      <c r="M109" s="38"/>
    </row>
    <row r="110">
      <c r="A110" s="1" t="s">
        <v>658</v>
      </c>
      <c r="B110" s="1">
        <v>29.0</v>
      </c>
      <c r="C110" s="1">
        <v>49.99</v>
      </c>
      <c r="E110" s="1" t="s">
        <v>117</v>
      </c>
      <c r="J110" s="1" t="s">
        <v>15</v>
      </c>
      <c r="M110" s="38"/>
    </row>
    <row r="111">
      <c r="A111" s="1" t="s">
        <v>248</v>
      </c>
      <c r="B111" s="1">
        <v>30.0</v>
      </c>
      <c r="C111" s="1">
        <v>50.0</v>
      </c>
      <c r="E111" s="1" t="s">
        <v>117</v>
      </c>
      <c r="J111" s="1" t="s">
        <v>34</v>
      </c>
      <c r="M111" s="38"/>
    </row>
    <row r="112">
      <c r="A112" s="1" t="s">
        <v>25</v>
      </c>
      <c r="B112" s="1">
        <v>30.0</v>
      </c>
      <c r="C112" s="1">
        <v>33.99</v>
      </c>
      <c r="E112" s="1" t="s">
        <v>117</v>
      </c>
      <c r="J112" s="1" t="s">
        <v>25</v>
      </c>
      <c r="M112" s="38"/>
    </row>
    <row r="113">
      <c r="A113" s="1"/>
      <c r="B113" s="1"/>
      <c r="C113" s="1"/>
      <c r="J113" s="14"/>
      <c r="M113" s="38"/>
    </row>
    <row r="114">
      <c r="A114" s="1"/>
      <c r="B114" s="1"/>
      <c r="C114" s="1"/>
      <c r="J114" s="14"/>
      <c r="M114" s="38"/>
    </row>
    <row r="115">
      <c r="A115" s="1"/>
      <c r="B115" s="1"/>
      <c r="C115" s="1"/>
      <c r="J115" s="14"/>
      <c r="M115" s="38"/>
    </row>
    <row r="116">
      <c r="A116" s="1" t="s">
        <v>236</v>
      </c>
      <c r="C116" s="1">
        <v>0.0</v>
      </c>
      <c r="M116" s="38"/>
    </row>
    <row r="117">
      <c r="A117" s="1" t="s">
        <v>50</v>
      </c>
      <c r="C117" s="8">
        <f>SUM(C2:C115)</f>
        <v>11223.3073</v>
      </c>
      <c r="D117" s="8">
        <f>(8968.96+6339.2)-C117-C116</f>
        <v>4084.8527</v>
      </c>
      <c r="M117" s="38"/>
    </row>
    <row r="118">
      <c r="M118" s="38"/>
    </row>
    <row r="119">
      <c r="M119" s="38"/>
    </row>
    <row r="120">
      <c r="M120" s="38"/>
    </row>
    <row r="121">
      <c r="M121" s="38"/>
    </row>
    <row r="122">
      <c r="M122" s="38"/>
    </row>
    <row r="123">
      <c r="M123" s="38"/>
    </row>
    <row r="124">
      <c r="M124" s="38"/>
    </row>
    <row r="125">
      <c r="M125" s="38"/>
    </row>
    <row r="126">
      <c r="M126" s="38"/>
    </row>
    <row r="127">
      <c r="M127" s="38"/>
    </row>
    <row r="128">
      <c r="M128" s="38"/>
    </row>
    <row r="129">
      <c r="M129" s="38"/>
    </row>
    <row r="130">
      <c r="M130" s="38"/>
    </row>
    <row r="131">
      <c r="M131" s="38"/>
    </row>
    <row r="132">
      <c r="M132" s="38"/>
    </row>
    <row r="133">
      <c r="M133" s="38"/>
    </row>
    <row r="134">
      <c r="M134" s="38"/>
    </row>
    <row r="135">
      <c r="M135" s="38"/>
    </row>
    <row r="136">
      <c r="M136" s="38"/>
    </row>
    <row r="137">
      <c r="M137" s="38"/>
    </row>
    <row r="138">
      <c r="M138" s="38"/>
    </row>
    <row r="139">
      <c r="M139" s="38"/>
    </row>
    <row r="140">
      <c r="M140" s="38"/>
    </row>
    <row r="141">
      <c r="M141" s="38"/>
    </row>
    <row r="142">
      <c r="M142" s="38"/>
    </row>
    <row r="143">
      <c r="M143" s="38"/>
    </row>
    <row r="144">
      <c r="M144" s="36" t="s">
        <v>240</v>
      </c>
    </row>
    <row r="145">
      <c r="M145" s="38"/>
    </row>
    <row r="146">
      <c r="M146" s="38"/>
    </row>
    <row r="147">
      <c r="M147" s="38"/>
    </row>
    <row r="148">
      <c r="M148" s="38"/>
    </row>
    <row r="149">
      <c r="M149" s="38"/>
    </row>
    <row r="150">
      <c r="M150" s="38"/>
    </row>
    <row r="151">
      <c r="M151" s="38"/>
    </row>
    <row r="152">
      <c r="M152" s="38"/>
    </row>
    <row r="153">
      <c r="M153" s="38"/>
    </row>
    <row r="154">
      <c r="M154" s="38"/>
    </row>
    <row r="155">
      <c r="M155" s="38"/>
    </row>
    <row r="156">
      <c r="M156" s="38"/>
    </row>
    <row r="157">
      <c r="M157" s="38"/>
    </row>
    <row r="158">
      <c r="M158" s="38"/>
    </row>
    <row r="159">
      <c r="M159" s="38"/>
    </row>
    <row r="160">
      <c r="M160" s="38"/>
    </row>
    <row r="161">
      <c r="M161" s="38"/>
    </row>
    <row r="162">
      <c r="M162" s="38"/>
    </row>
    <row r="163">
      <c r="M163" s="38"/>
    </row>
    <row r="164">
      <c r="M164" s="38"/>
    </row>
    <row r="165">
      <c r="M165" s="38"/>
    </row>
    <row r="166">
      <c r="M166" s="38"/>
    </row>
    <row r="167">
      <c r="M167" s="38"/>
    </row>
    <row r="168">
      <c r="M168" s="38"/>
    </row>
    <row r="169">
      <c r="M169" s="38"/>
    </row>
    <row r="170">
      <c r="M170" s="38"/>
    </row>
    <row r="171">
      <c r="M171" s="38"/>
    </row>
    <row r="172">
      <c r="M172" s="38"/>
    </row>
    <row r="173">
      <c r="M173" s="38"/>
    </row>
    <row r="174">
      <c r="M174" s="38"/>
    </row>
    <row r="175">
      <c r="M175" s="38"/>
    </row>
    <row r="176">
      <c r="M176" s="38"/>
    </row>
    <row r="177">
      <c r="M177" s="38"/>
    </row>
    <row r="178">
      <c r="M178" s="38"/>
    </row>
    <row r="179">
      <c r="M179" s="38"/>
    </row>
    <row r="180">
      <c r="M180" s="38"/>
    </row>
    <row r="181">
      <c r="M181" s="38"/>
    </row>
    <row r="182">
      <c r="M182" s="38"/>
    </row>
    <row r="183">
      <c r="M183" s="38"/>
    </row>
    <row r="184">
      <c r="M184" s="38"/>
    </row>
    <row r="185">
      <c r="M185" s="38"/>
    </row>
    <row r="186">
      <c r="M186" s="38"/>
    </row>
    <row r="187">
      <c r="M187" s="38"/>
    </row>
    <row r="188">
      <c r="M188" s="38"/>
    </row>
    <row r="189">
      <c r="M189" s="38"/>
    </row>
    <row r="190">
      <c r="M190" s="38"/>
    </row>
    <row r="191">
      <c r="M191" s="38"/>
    </row>
    <row r="192">
      <c r="M192" s="38"/>
    </row>
    <row r="193">
      <c r="M193" s="38"/>
    </row>
    <row r="194">
      <c r="M194" s="38"/>
    </row>
    <row r="195">
      <c r="M195" s="38"/>
    </row>
    <row r="196">
      <c r="M196" s="38"/>
    </row>
    <row r="197">
      <c r="M197" s="38"/>
    </row>
    <row r="198">
      <c r="M198" s="38"/>
    </row>
    <row r="199">
      <c r="M199" s="38"/>
    </row>
    <row r="200">
      <c r="M200" s="38"/>
    </row>
    <row r="201">
      <c r="M201" s="38"/>
    </row>
    <row r="202">
      <c r="M202" s="38"/>
    </row>
    <row r="203">
      <c r="M203" s="38"/>
    </row>
    <row r="204">
      <c r="M204" s="38"/>
    </row>
    <row r="205">
      <c r="M205" s="38"/>
    </row>
    <row r="206">
      <c r="M206" s="38"/>
    </row>
    <row r="207">
      <c r="M207" s="38"/>
    </row>
    <row r="208">
      <c r="M208" s="38"/>
    </row>
    <row r="209">
      <c r="M209" s="38"/>
    </row>
    <row r="210">
      <c r="M210" s="38"/>
    </row>
    <row r="211">
      <c r="M211" s="38"/>
    </row>
    <row r="212">
      <c r="M212" s="38"/>
    </row>
    <row r="213">
      <c r="M213" s="38"/>
    </row>
    <row r="214">
      <c r="M214" s="38"/>
    </row>
    <row r="215">
      <c r="M215" s="38"/>
    </row>
    <row r="216">
      <c r="M216" s="38"/>
    </row>
    <row r="217">
      <c r="M217" s="38"/>
    </row>
    <row r="218">
      <c r="M218" s="38"/>
    </row>
    <row r="219">
      <c r="M219" s="38"/>
    </row>
    <row r="220">
      <c r="M220" s="38"/>
    </row>
    <row r="221">
      <c r="M221" s="38"/>
    </row>
    <row r="222">
      <c r="M222" s="38"/>
    </row>
    <row r="223">
      <c r="M223" s="38"/>
    </row>
    <row r="224">
      <c r="M224" s="38"/>
    </row>
    <row r="225">
      <c r="M225" s="38"/>
    </row>
    <row r="226">
      <c r="M226" s="38"/>
    </row>
    <row r="227">
      <c r="M227" s="38"/>
    </row>
    <row r="228">
      <c r="M228" s="38"/>
    </row>
    <row r="229">
      <c r="M229" s="38"/>
    </row>
    <row r="230">
      <c r="M230" s="38"/>
    </row>
    <row r="231">
      <c r="M231" s="38"/>
    </row>
    <row r="232">
      <c r="M232" s="38"/>
    </row>
    <row r="233">
      <c r="M233" s="38"/>
    </row>
    <row r="234">
      <c r="M234" s="38"/>
    </row>
    <row r="235">
      <c r="M235" s="38"/>
    </row>
    <row r="236">
      <c r="M236" s="38"/>
    </row>
    <row r="237">
      <c r="M237" s="38"/>
    </row>
    <row r="238">
      <c r="M238" s="38"/>
    </row>
    <row r="239">
      <c r="M239" s="38"/>
    </row>
    <row r="240">
      <c r="M240" s="38"/>
    </row>
    <row r="241">
      <c r="M241" s="38"/>
    </row>
    <row r="242">
      <c r="M242" s="38"/>
    </row>
    <row r="243">
      <c r="M243" s="38"/>
    </row>
    <row r="244">
      <c r="M244" s="38"/>
    </row>
    <row r="245">
      <c r="M245" s="38"/>
    </row>
    <row r="246">
      <c r="M246" s="38"/>
    </row>
    <row r="247">
      <c r="M247" s="38"/>
    </row>
    <row r="248">
      <c r="M248" s="38"/>
    </row>
    <row r="249">
      <c r="M249" s="38"/>
    </row>
    <row r="250">
      <c r="M250" s="38"/>
    </row>
    <row r="251">
      <c r="M251" s="38"/>
    </row>
    <row r="252">
      <c r="M252" s="38"/>
    </row>
    <row r="253">
      <c r="M253" s="38"/>
    </row>
    <row r="254">
      <c r="M254" s="38"/>
    </row>
    <row r="255">
      <c r="M255" s="38"/>
    </row>
    <row r="256">
      <c r="M256" s="38"/>
    </row>
    <row r="257">
      <c r="M257" s="38"/>
    </row>
    <row r="258">
      <c r="M258" s="38"/>
    </row>
    <row r="259">
      <c r="M259" s="38"/>
    </row>
    <row r="260">
      <c r="M260" s="38"/>
    </row>
    <row r="261">
      <c r="M261" s="38"/>
    </row>
    <row r="262">
      <c r="M262" s="38"/>
    </row>
    <row r="263">
      <c r="M263" s="38"/>
    </row>
    <row r="264">
      <c r="M264" s="38"/>
    </row>
    <row r="265">
      <c r="M265" s="38"/>
    </row>
    <row r="266">
      <c r="M266" s="38"/>
    </row>
    <row r="267">
      <c r="M267" s="38"/>
    </row>
    <row r="268">
      <c r="M268" s="38"/>
    </row>
    <row r="269">
      <c r="M269" s="38"/>
    </row>
    <row r="270">
      <c r="M270" s="38"/>
    </row>
    <row r="271">
      <c r="M271" s="38"/>
    </row>
    <row r="272">
      <c r="M272" s="38"/>
    </row>
    <row r="273">
      <c r="M273" s="38"/>
    </row>
    <row r="274">
      <c r="M274" s="38"/>
    </row>
    <row r="275">
      <c r="M275" s="38"/>
    </row>
    <row r="276">
      <c r="M276" s="38"/>
    </row>
    <row r="277">
      <c r="M277" s="38"/>
    </row>
    <row r="278">
      <c r="M278" s="38"/>
    </row>
    <row r="279">
      <c r="M279" s="38"/>
    </row>
    <row r="280">
      <c r="M280" s="38"/>
    </row>
    <row r="281">
      <c r="M281" s="38"/>
    </row>
    <row r="282">
      <c r="M282" s="38"/>
    </row>
    <row r="283">
      <c r="M283" s="38"/>
    </row>
    <row r="284">
      <c r="M284" s="38"/>
    </row>
    <row r="285">
      <c r="M285" s="38"/>
    </row>
    <row r="286">
      <c r="M286" s="38"/>
    </row>
    <row r="287">
      <c r="M287" s="38"/>
    </row>
    <row r="288">
      <c r="M288" s="38"/>
    </row>
    <row r="289">
      <c r="M289" s="38"/>
    </row>
    <row r="290">
      <c r="M290" s="38"/>
    </row>
    <row r="291">
      <c r="M291" s="38"/>
    </row>
    <row r="292">
      <c r="M292" s="38"/>
    </row>
    <row r="293">
      <c r="M293" s="38"/>
    </row>
    <row r="294">
      <c r="M294" s="38"/>
    </row>
    <row r="295">
      <c r="M295" s="38"/>
    </row>
    <row r="296">
      <c r="M296" s="38"/>
    </row>
    <row r="297">
      <c r="M297" s="38"/>
    </row>
    <row r="298">
      <c r="M298" s="38"/>
    </row>
    <row r="299">
      <c r="M299" s="38"/>
    </row>
    <row r="300">
      <c r="M300" s="38"/>
    </row>
    <row r="301">
      <c r="M301" s="38"/>
    </row>
    <row r="302">
      <c r="M302" s="38"/>
    </row>
    <row r="303">
      <c r="M303" s="38"/>
    </row>
    <row r="304">
      <c r="M304" s="38"/>
    </row>
    <row r="305">
      <c r="M305" s="38"/>
    </row>
    <row r="306">
      <c r="M306" s="38"/>
    </row>
    <row r="307">
      <c r="M307" s="38"/>
    </row>
    <row r="308">
      <c r="M308" s="38"/>
    </row>
    <row r="309">
      <c r="M309" s="38"/>
    </row>
    <row r="310">
      <c r="M310" s="38"/>
    </row>
    <row r="311">
      <c r="M311" s="38"/>
    </row>
    <row r="312">
      <c r="M312" s="38"/>
    </row>
    <row r="313">
      <c r="M313" s="38"/>
    </row>
    <row r="314">
      <c r="M314" s="38"/>
    </row>
    <row r="315">
      <c r="M315" s="38"/>
    </row>
    <row r="316">
      <c r="M316" s="38"/>
    </row>
    <row r="317">
      <c r="M317" s="38"/>
    </row>
    <row r="318">
      <c r="M318" s="38"/>
    </row>
    <row r="319">
      <c r="M319" s="38"/>
    </row>
    <row r="320">
      <c r="M320" s="38"/>
    </row>
    <row r="321">
      <c r="M321" s="38"/>
    </row>
    <row r="322">
      <c r="M322" s="38"/>
    </row>
    <row r="323">
      <c r="M323" s="38"/>
    </row>
    <row r="324">
      <c r="M324" s="38"/>
    </row>
    <row r="325">
      <c r="M325" s="38"/>
    </row>
    <row r="326">
      <c r="M326" s="38"/>
    </row>
    <row r="327">
      <c r="M327" s="38"/>
    </row>
    <row r="328">
      <c r="M328" s="38"/>
    </row>
    <row r="329">
      <c r="M329" s="38"/>
    </row>
    <row r="330">
      <c r="M330" s="38"/>
    </row>
    <row r="331">
      <c r="M331" s="38"/>
    </row>
    <row r="332">
      <c r="M332" s="38"/>
    </row>
    <row r="333">
      <c r="M333" s="38"/>
    </row>
    <row r="334">
      <c r="M334" s="38"/>
    </row>
    <row r="335">
      <c r="M335" s="38"/>
    </row>
    <row r="336">
      <c r="M336" s="38"/>
    </row>
    <row r="337">
      <c r="M337" s="38"/>
    </row>
    <row r="338">
      <c r="M338" s="38"/>
    </row>
    <row r="339">
      <c r="M339" s="38"/>
    </row>
    <row r="340">
      <c r="M340" s="38"/>
    </row>
    <row r="341">
      <c r="M341" s="38"/>
    </row>
    <row r="342">
      <c r="M342" s="38"/>
    </row>
    <row r="343">
      <c r="M343" s="38"/>
    </row>
    <row r="344">
      <c r="M344" s="38"/>
    </row>
    <row r="345">
      <c r="M345" s="38"/>
    </row>
    <row r="346">
      <c r="M346" s="38"/>
    </row>
    <row r="347">
      <c r="M347" s="38"/>
    </row>
    <row r="348">
      <c r="M348" s="38"/>
    </row>
    <row r="349">
      <c r="M349" s="38"/>
    </row>
    <row r="350">
      <c r="M350" s="38"/>
    </row>
    <row r="351">
      <c r="M351" s="38"/>
    </row>
    <row r="352">
      <c r="M352" s="38"/>
    </row>
    <row r="353">
      <c r="M353" s="38"/>
    </row>
    <row r="354">
      <c r="M354" s="38"/>
    </row>
    <row r="355">
      <c r="M355" s="38"/>
    </row>
    <row r="356">
      <c r="M356" s="38"/>
    </row>
    <row r="357">
      <c r="M357" s="38"/>
    </row>
    <row r="358">
      <c r="M358" s="38"/>
    </row>
    <row r="359">
      <c r="M359" s="38"/>
    </row>
    <row r="360">
      <c r="M360" s="38"/>
    </row>
    <row r="361">
      <c r="M361" s="38"/>
    </row>
    <row r="362">
      <c r="M362" s="38"/>
    </row>
    <row r="363">
      <c r="M363" s="38"/>
    </row>
    <row r="364">
      <c r="M364" s="38"/>
    </row>
    <row r="365">
      <c r="M365" s="38"/>
    </row>
    <row r="366">
      <c r="M366" s="38"/>
    </row>
    <row r="367">
      <c r="M367" s="38"/>
    </row>
    <row r="368">
      <c r="M368" s="38"/>
    </row>
    <row r="369">
      <c r="M369" s="38"/>
    </row>
    <row r="370">
      <c r="M370" s="38"/>
    </row>
    <row r="371">
      <c r="M371" s="38"/>
    </row>
    <row r="372">
      <c r="M372" s="38"/>
    </row>
    <row r="373">
      <c r="M373" s="38"/>
    </row>
    <row r="374">
      <c r="M374" s="38"/>
    </row>
    <row r="375">
      <c r="M375" s="38"/>
    </row>
    <row r="376">
      <c r="M376" s="38"/>
    </row>
    <row r="377">
      <c r="M377" s="38"/>
    </row>
    <row r="378">
      <c r="M378" s="38"/>
    </row>
    <row r="379">
      <c r="M379" s="38"/>
    </row>
    <row r="380">
      <c r="M380" s="38"/>
    </row>
    <row r="381">
      <c r="M381" s="38"/>
    </row>
    <row r="382">
      <c r="M382" s="38"/>
    </row>
    <row r="383">
      <c r="M383" s="38"/>
    </row>
    <row r="384">
      <c r="M384" s="38"/>
    </row>
    <row r="385">
      <c r="M385" s="38"/>
    </row>
    <row r="386">
      <c r="M386" s="38"/>
    </row>
    <row r="387">
      <c r="M387" s="38"/>
    </row>
    <row r="388">
      <c r="M388" s="38"/>
    </row>
    <row r="389">
      <c r="M389" s="38"/>
    </row>
    <row r="390">
      <c r="M390" s="38"/>
    </row>
    <row r="391">
      <c r="M391" s="38"/>
    </row>
    <row r="392">
      <c r="M392" s="38"/>
    </row>
    <row r="393">
      <c r="M393" s="38"/>
    </row>
    <row r="394">
      <c r="M394" s="38"/>
    </row>
    <row r="395">
      <c r="M395" s="38"/>
    </row>
    <row r="396">
      <c r="M396" s="38"/>
    </row>
    <row r="397">
      <c r="M397" s="38"/>
    </row>
    <row r="398">
      <c r="M398" s="38"/>
    </row>
    <row r="399">
      <c r="M399" s="38"/>
    </row>
    <row r="400">
      <c r="M400" s="38"/>
    </row>
    <row r="401">
      <c r="M401" s="38"/>
    </row>
    <row r="402">
      <c r="M402" s="38"/>
    </row>
    <row r="403">
      <c r="M403" s="38"/>
    </row>
    <row r="404">
      <c r="M404" s="38"/>
    </row>
    <row r="405">
      <c r="M405" s="38"/>
    </row>
    <row r="406">
      <c r="M406" s="38"/>
    </row>
    <row r="407">
      <c r="M407" s="38"/>
    </row>
    <row r="408">
      <c r="M408" s="38"/>
    </row>
    <row r="409">
      <c r="M409" s="38"/>
    </row>
    <row r="410">
      <c r="M410" s="38"/>
    </row>
    <row r="411">
      <c r="M411" s="38"/>
    </row>
    <row r="412">
      <c r="M412" s="38"/>
    </row>
    <row r="413">
      <c r="M413" s="38"/>
    </row>
    <row r="414">
      <c r="M414" s="38"/>
    </row>
    <row r="415">
      <c r="M415" s="38"/>
    </row>
    <row r="416">
      <c r="M416" s="38"/>
    </row>
    <row r="417">
      <c r="M417" s="38"/>
    </row>
    <row r="418">
      <c r="M418" s="38"/>
    </row>
    <row r="419">
      <c r="M419" s="38"/>
    </row>
    <row r="420">
      <c r="M420" s="38"/>
    </row>
    <row r="421">
      <c r="M421" s="38"/>
    </row>
    <row r="422">
      <c r="M422" s="38"/>
    </row>
    <row r="423">
      <c r="M423" s="38"/>
    </row>
    <row r="424">
      <c r="M424" s="38"/>
    </row>
    <row r="425">
      <c r="M425" s="38"/>
    </row>
    <row r="426">
      <c r="M426" s="38"/>
    </row>
    <row r="427">
      <c r="M427" s="38"/>
    </row>
    <row r="428">
      <c r="M428" s="38"/>
    </row>
    <row r="429">
      <c r="M429" s="38"/>
    </row>
    <row r="430">
      <c r="M430" s="38"/>
    </row>
    <row r="431">
      <c r="M431" s="38"/>
    </row>
    <row r="432">
      <c r="M432" s="38"/>
    </row>
    <row r="433">
      <c r="M433" s="38"/>
    </row>
    <row r="434">
      <c r="M434" s="38"/>
    </row>
    <row r="435">
      <c r="M435" s="38"/>
    </row>
    <row r="436">
      <c r="M436" s="38"/>
    </row>
    <row r="437">
      <c r="M437" s="38"/>
    </row>
    <row r="438">
      <c r="M438" s="38"/>
    </row>
    <row r="439">
      <c r="M439" s="38"/>
    </row>
    <row r="440">
      <c r="M440" s="38"/>
    </row>
    <row r="441">
      <c r="M441" s="38"/>
    </row>
    <row r="442">
      <c r="M442" s="38"/>
    </row>
    <row r="443">
      <c r="M443" s="38"/>
    </row>
    <row r="444">
      <c r="M444" s="38"/>
    </row>
    <row r="445">
      <c r="M445" s="38"/>
    </row>
    <row r="446">
      <c r="M446" s="38"/>
    </row>
    <row r="447">
      <c r="M447" s="38"/>
    </row>
    <row r="448">
      <c r="M448" s="38"/>
    </row>
    <row r="449">
      <c r="M449" s="38"/>
    </row>
    <row r="450">
      <c r="M450" s="38"/>
    </row>
    <row r="451">
      <c r="M451" s="38"/>
    </row>
    <row r="452">
      <c r="M452" s="38"/>
    </row>
    <row r="453">
      <c r="M453" s="38"/>
    </row>
    <row r="454">
      <c r="M454" s="38"/>
    </row>
    <row r="455">
      <c r="M455" s="38"/>
    </row>
    <row r="456">
      <c r="M456" s="38"/>
    </row>
    <row r="457">
      <c r="M457" s="38"/>
    </row>
    <row r="458">
      <c r="M458" s="38"/>
    </row>
    <row r="459">
      <c r="M459" s="38"/>
    </row>
    <row r="460">
      <c r="M460" s="38"/>
    </row>
    <row r="461">
      <c r="M461" s="38"/>
    </row>
    <row r="462">
      <c r="M462" s="38"/>
    </row>
    <row r="463">
      <c r="M463" s="38"/>
    </row>
    <row r="464">
      <c r="M464" s="38"/>
    </row>
    <row r="465">
      <c r="M465" s="38"/>
    </row>
    <row r="466">
      <c r="M466" s="38"/>
    </row>
    <row r="467">
      <c r="M467" s="38"/>
    </row>
    <row r="468">
      <c r="M468" s="38"/>
    </row>
    <row r="469">
      <c r="M469" s="38"/>
    </row>
    <row r="470">
      <c r="M470" s="38"/>
    </row>
    <row r="471">
      <c r="M471" s="38"/>
    </row>
    <row r="472">
      <c r="M472" s="38"/>
    </row>
    <row r="473">
      <c r="M473" s="38"/>
    </row>
    <row r="474">
      <c r="M474" s="38"/>
    </row>
    <row r="475">
      <c r="M475" s="38"/>
    </row>
    <row r="476">
      <c r="M476" s="38"/>
    </row>
    <row r="477">
      <c r="M477" s="38"/>
    </row>
    <row r="478">
      <c r="M478" s="38"/>
    </row>
    <row r="479">
      <c r="M479" s="38"/>
    </row>
    <row r="480">
      <c r="M480" s="38"/>
    </row>
    <row r="481">
      <c r="M481" s="38"/>
    </row>
    <row r="482">
      <c r="M482" s="38"/>
    </row>
    <row r="483">
      <c r="M483" s="38"/>
    </row>
    <row r="484">
      <c r="M484" s="38"/>
    </row>
    <row r="485">
      <c r="M485" s="38"/>
    </row>
    <row r="486">
      <c r="M486" s="38"/>
    </row>
    <row r="487">
      <c r="M487" s="38"/>
    </row>
    <row r="488">
      <c r="M488" s="38"/>
    </row>
    <row r="489">
      <c r="M489" s="38"/>
    </row>
    <row r="490">
      <c r="M490" s="38"/>
    </row>
    <row r="491">
      <c r="M491" s="38"/>
    </row>
    <row r="492">
      <c r="M492" s="38"/>
    </row>
    <row r="493">
      <c r="M493" s="38"/>
    </row>
    <row r="494">
      <c r="M494" s="38"/>
    </row>
    <row r="495">
      <c r="M495" s="38"/>
    </row>
    <row r="496">
      <c r="M496" s="38"/>
    </row>
    <row r="497">
      <c r="M497" s="38"/>
    </row>
    <row r="498">
      <c r="M498" s="38"/>
    </row>
    <row r="499">
      <c r="M499" s="38"/>
    </row>
    <row r="500">
      <c r="M500" s="38"/>
    </row>
    <row r="501">
      <c r="M501" s="38"/>
    </row>
    <row r="502">
      <c r="M502" s="38"/>
    </row>
    <row r="503">
      <c r="M503" s="38"/>
    </row>
    <row r="504">
      <c r="M504" s="38"/>
    </row>
    <row r="505">
      <c r="M505" s="38"/>
    </row>
    <row r="506">
      <c r="M506" s="38"/>
    </row>
    <row r="507">
      <c r="M507" s="38"/>
    </row>
    <row r="508">
      <c r="M508" s="38"/>
    </row>
    <row r="509">
      <c r="M509" s="38"/>
    </row>
    <row r="510">
      <c r="M510" s="38"/>
    </row>
    <row r="511">
      <c r="M511" s="38"/>
    </row>
    <row r="512">
      <c r="M512" s="38"/>
    </row>
    <row r="513">
      <c r="M513" s="38"/>
    </row>
    <row r="514">
      <c r="M514" s="38"/>
    </row>
    <row r="515">
      <c r="M515" s="38"/>
    </row>
    <row r="516">
      <c r="M516" s="38"/>
    </row>
    <row r="517">
      <c r="M517" s="38"/>
    </row>
    <row r="518">
      <c r="M518" s="38"/>
    </row>
    <row r="519">
      <c r="M519" s="38"/>
    </row>
    <row r="520">
      <c r="M520" s="38"/>
    </row>
    <row r="521">
      <c r="M521" s="38"/>
    </row>
    <row r="522">
      <c r="M522" s="38"/>
    </row>
    <row r="523">
      <c r="M523" s="38"/>
    </row>
    <row r="524">
      <c r="M524" s="38"/>
    </row>
    <row r="525">
      <c r="M525" s="38"/>
    </row>
    <row r="526">
      <c r="M526" s="38"/>
    </row>
    <row r="527">
      <c r="M527" s="38"/>
    </row>
    <row r="528">
      <c r="M528" s="38"/>
    </row>
    <row r="529">
      <c r="M529" s="38"/>
    </row>
    <row r="530">
      <c r="M530" s="38"/>
    </row>
    <row r="531">
      <c r="M531" s="38"/>
    </row>
    <row r="532">
      <c r="M532" s="38"/>
    </row>
    <row r="533">
      <c r="M533" s="38"/>
    </row>
    <row r="534">
      <c r="M534" s="38"/>
    </row>
    <row r="535">
      <c r="M535" s="38"/>
    </row>
    <row r="536">
      <c r="M536" s="38"/>
    </row>
    <row r="537">
      <c r="M537" s="38"/>
    </row>
    <row r="538">
      <c r="M538" s="38"/>
    </row>
    <row r="539">
      <c r="M539" s="38"/>
    </row>
    <row r="540">
      <c r="M540" s="38"/>
    </row>
    <row r="541">
      <c r="M541" s="38"/>
    </row>
    <row r="542">
      <c r="M542" s="38"/>
    </row>
    <row r="543">
      <c r="M543" s="38"/>
    </row>
    <row r="544">
      <c r="M544" s="38"/>
    </row>
    <row r="545">
      <c r="M545" s="38"/>
    </row>
    <row r="546">
      <c r="M546" s="38"/>
    </row>
    <row r="547">
      <c r="M547" s="38"/>
    </row>
    <row r="548">
      <c r="M548" s="38"/>
    </row>
    <row r="549">
      <c r="M549" s="38"/>
    </row>
    <row r="550">
      <c r="M550" s="38"/>
    </row>
    <row r="551">
      <c r="M551" s="38"/>
    </row>
    <row r="552">
      <c r="M552" s="38"/>
    </row>
    <row r="553">
      <c r="M553" s="38"/>
    </row>
    <row r="554">
      <c r="M554" s="38"/>
    </row>
    <row r="555">
      <c r="M555" s="38"/>
    </row>
    <row r="556">
      <c r="M556" s="38"/>
    </row>
    <row r="557">
      <c r="M557" s="38"/>
    </row>
    <row r="558">
      <c r="M558" s="38"/>
    </row>
    <row r="559">
      <c r="M559" s="38"/>
    </row>
    <row r="560">
      <c r="M560" s="38"/>
    </row>
    <row r="561">
      <c r="M561" s="38"/>
    </row>
    <row r="562">
      <c r="M562" s="38"/>
    </row>
    <row r="563">
      <c r="M563" s="38"/>
    </row>
    <row r="564">
      <c r="M564" s="38"/>
    </row>
    <row r="565">
      <c r="M565" s="38"/>
    </row>
    <row r="566">
      <c r="M566" s="38"/>
    </row>
    <row r="567">
      <c r="M567" s="38"/>
    </row>
    <row r="568">
      <c r="M568" s="38"/>
    </row>
    <row r="569">
      <c r="M569" s="38"/>
    </row>
    <row r="570">
      <c r="M570" s="38"/>
    </row>
    <row r="571">
      <c r="M571" s="38"/>
    </row>
    <row r="572">
      <c r="M572" s="38"/>
    </row>
    <row r="573">
      <c r="M573" s="38"/>
    </row>
    <row r="574">
      <c r="M574" s="38"/>
    </row>
    <row r="575">
      <c r="M575" s="38"/>
    </row>
    <row r="576">
      <c r="M576" s="38"/>
    </row>
    <row r="577">
      <c r="M577" s="38"/>
    </row>
    <row r="578">
      <c r="M578" s="38"/>
    </row>
    <row r="579">
      <c r="M579" s="38"/>
    </row>
    <row r="580">
      <c r="M580" s="38"/>
    </row>
    <row r="581">
      <c r="M581" s="38"/>
    </row>
    <row r="582">
      <c r="M582" s="38"/>
    </row>
    <row r="583">
      <c r="M583" s="38"/>
    </row>
    <row r="584">
      <c r="M584" s="38"/>
    </row>
    <row r="585">
      <c r="M585" s="38"/>
    </row>
    <row r="586">
      <c r="M586" s="38"/>
    </row>
    <row r="587">
      <c r="M587" s="38"/>
    </row>
    <row r="588">
      <c r="M588" s="38"/>
    </row>
    <row r="589">
      <c r="M589" s="38"/>
    </row>
    <row r="590">
      <c r="M590" s="38"/>
    </row>
    <row r="591">
      <c r="M591" s="38"/>
    </row>
    <row r="592">
      <c r="M592" s="38"/>
    </row>
    <row r="593">
      <c r="M593" s="38"/>
    </row>
    <row r="594">
      <c r="M594" s="38"/>
    </row>
    <row r="595">
      <c r="M595" s="38"/>
    </row>
    <row r="596">
      <c r="M596" s="38"/>
    </row>
    <row r="597">
      <c r="M597" s="38"/>
    </row>
    <row r="598">
      <c r="M598" s="38"/>
    </row>
    <row r="599">
      <c r="M599" s="38"/>
    </row>
    <row r="600">
      <c r="M600" s="38"/>
    </row>
    <row r="601">
      <c r="M601" s="38"/>
    </row>
    <row r="602">
      <c r="M602" s="38"/>
    </row>
    <row r="603">
      <c r="M603" s="38"/>
    </row>
    <row r="604">
      <c r="M604" s="38"/>
    </row>
    <row r="605">
      <c r="M605" s="38"/>
    </row>
    <row r="606">
      <c r="M606" s="38"/>
    </row>
    <row r="607">
      <c r="M607" s="38"/>
    </row>
    <row r="608">
      <c r="M608" s="38"/>
    </row>
    <row r="609">
      <c r="M609" s="38"/>
    </row>
    <row r="610">
      <c r="M610" s="38"/>
    </row>
    <row r="611">
      <c r="M611" s="38"/>
    </row>
    <row r="612">
      <c r="M612" s="38"/>
    </row>
    <row r="613">
      <c r="M613" s="38"/>
    </row>
    <row r="614">
      <c r="M614" s="38"/>
    </row>
    <row r="615">
      <c r="M615" s="38"/>
    </row>
    <row r="616">
      <c r="M616" s="38"/>
    </row>
    <row r="617">
      <c r="M617" s="38"/>
    </row>
    <row r="618">
      <c r="M618" s="38"/>
    </row>
    <row r="619">
      <c r="M619" s="38"/>
    </row>
    <row r="620">
      <c r="M620" s="38"/>
    </row>
    <row r="621">
      <c r="M621" s="38"/>
    </row>
    <row r="622">
      <c r="M622" s="38"/>
    </row>
    <row r="623">
      <c r="M623" s="38"/>
    </row>
    <row r="624">
      <c r="M624" s="38"/>
    </row>
    <row r="625">
      <c r="M625" s="38"/>
    </row>
    <row r="626">
      <c r="M626" s="38"/>
    </row>
    <row r="627">
      <c r="M627" s="38"/>
    </row>
    <row r="628">
      <c r="M628" s="38"/>
    </row>
    <row r="629">
      <c r="M629" s="38"/>
    </row>
    <row r="630">
      <c r="M630" s="38"/>
    </row>
    <row r="631">
      <c r="M631" s="38"/>
    </row>
    <row r="632">
      <c r="M632" s="38"/>
    </row>
    <row r="633">
      <c r="M633" s="38"/>
    </row>
    <row r="634">
      <c r="M634" s="38"/>
    </row>
    <row r="635">
      <c r="M635" s="38"/>
    </row>
    <row r="636">
      <c r="M636" s="38"/>
    </row>
    <row r="637">
      <c r="M637" s="38"/>
    </row>
    <row r="638">
      <c r="M638" s="38"/>
    </row>
    <row r="639">
      <c r="M639" s="38"/>
    </row>
    <row r="640">
      <c r="M640" s="38"/>
    </row>
    <row r="641">
      <c r="M641" s="38"/>
    </row>
    <row r="642">
      <c r="M642" s="38"/>
    </row>
    <row r="643">
      <c r="M643" s="38"/>
    </row>
    <row r="644">
      <c r="M644" s="38"/>
    </row>
    <row r="645">
      <c r="M645" s="38"/>
    </row>
    <row r="646">
      <c r="M646" s="38"/>
    </row>
    <row r="647">
      <c r="M647" s="38"/>
    </row>
    <row r="648">
      <c r="M648" s="38"/>
    </row>
    <row r="649">
      <c r="M649" s="38"/>
    </row>
    <row r="650">
      <c r="M650" s="38"/>
    </row>
    <row r="651">
      <c r="M651" s="38"/>
    </row>
    <row r="652">
      <c r="M652" s="38"/>
    </row>
    <row r="653">
      <c r="M653" s="38"/>
    </row>
    <row r="654">
      <c r="M654" s="38"/>
    </row>
    <row r="655">
      <c r="M655" s="38"/>
    </row>
    <row r="656">
      <c r="M656" s="38"/>
    </row>
    <row r="657">
      <c r="M657" s="38"/>
    </row>
    <row r="658">
      <c r="M658" s="38"/>
    </row>
    <row r="659">
      <c r="M659" s="38"/>
    </row>
    <row r="660">
      <c r="M660" s="38"/>
    </row>
    <row r="661">
      <c r="M661" s="38"/>
    </row>
    <row r="662">
      <c r="M662" s="38"/>
    </row>
    <row r="663">
      <c r="M663" s="38"/>
    </row>
    <row r="664">
      <c r="M664" s="38"/>
    </row>
    <row r="665">
      <c r="M665" s="38"/>
    </row>
    <row r="666">
      <c r="M666" s="38"/>
    </row>
    <row r="667">
      <c r="M667" s="38"/>
    </row>
    <row r="668">
      <c r="M668" s="38"/>
    </row>
    <row r="669">
      <c r="M669" s="38"/>
    </row>
    <row r="670">
      <c r="M670" s="38"/>
    </row>
    <row r="671">
      <c r="M671" s="38"/>
    </row>
    <row r="672">
      <c r="M672" s="38"/>
    </row>
    <row r="673">
      <c r="M673" s="38"/>
    </row>
    <row r="674">
      <c r="M674" s="38"/>
    </row>
    <row r="675">
      <c r="M675" s="38"/>
    </row>
    <row r="676">
      <c r="M676" s="38"/>
    </row>
    <row r="677">
      <c r="M677" s="38"/>
    </row>
    <row r="678">
      <c r="M678" s="38"/>
    </row>
    <row r="679">
      <c r="M679" s="38"/>
    </row>
    <row r="680">
      <c r="M680" s="38"/>
    </row>
    <row r="681">
      <c r="M681" s="38"/>
    </row>
    <row r="682">
      <c r="M682" s="38"/>
    </row>
    <row r="683">
      <c r="M683" s="38"/>
    </row>
    <row r="684">
      <c r="M684" s="38"/>
    </row>
    <row r="685">
      <c r="M685" s="38"/>
    </row>
    <row r="686">
      <c r="M686" s="38"/>
    </row>
    <row r="687">
      <c r="M687" s="38"/>
    </row>
    <row r="688">
      <c r="M688" s="38"/>
    </row>
    <row r="689">
      <c r="M689" s="38"/>
    </row>
    <row r="690">
      <c r="M690" s="38"/>
    </row>
    <row r="691">
      <c r="M691" s="38"/>
    </row>
    <row r="692">
      <c r="M692" s="38"/>
    </row>
    <row r="693">
      <c r="M693" s="38"/>
    </row>
    <row r="694">
      <c r="M694" s="38"/>
    </row>
    <row r="695">
      <c r="M695" s="38"/>
    </row>
    <row r="696">
      <c r="M696" s="38"/>
    </row>
    <row r="697">
      <c r="M697" s="38"/>
    </row>
    <row r="698">
      <c r="M698" s="38"/>
    </row>
    <row r="699">
      <c r="M699" s="38"/>
    </row>
    <row r="700">
      <c r="M700" s="38"/>
    </row>
    <row r="701">
      <c r="M701" s="38"/>
    </row>
    <row r="702">
      <c r="M702" s="38"/>
    </row>
    <row r="703">
      <c r="M703" s="38"/>
    </row>
    <row r="704">
      <c r="M704" s="38"/>
    </row>
    <row r="705">
      <c r="M705" s="38"/>
    </row>
    <row r="706">
      <c r="M706" s="38"/>
    </row>
    <row r="707">
      <c r="M707" s="38"/>
    </row>
    <row r="708">
      <c r="M708" s="38"/>
    </row>
    <row r="709">
      <c r="M709" s="38"/>
    </row>
    <row r="710">
      <c r="M710" s="38"/>
    </row>
    <row r="711">
      <c r="M711" s="38"/>
    </row>
    <row r="712">
      <c r="M712" s="38"/>
    </row>
    <row r="713">
      <c r="M713" s="38"/>
    </row>
    <row r="714">
      <c r="M714" s="38"/>
    </row>
    <row r="715">
      <c r="M715" s="38"/>
    </row>
    <row r="716">
      <c r="M716" s="38"/>
    </row>
    <row r="717">
      <c r="M717" s="38"/>
    </row>
    <row r="718">
      <c r="M718" s="38"/>
    </row>
    <row r="719">
      <c r="M719" s="38"/>
    </row>
    <row r="720">
      <c r="M720" s="38"/>
    </row>
    <row r="721">
      <c r="M721" s="38"/>
    </row>
    <row r="722">
      <c r="M722" s="38"/>
    </row>
    <row r="723">
      <c r="M723" s="38"/>
    </row>
    <row r="724">
      <c r="M724" s="38"/>
    </row>
    <row r="725">
      <c r="M725" s="38"/>
    </row>
    <row r="726">
      <c r="M726" s="38"/>
    </row>
    <row r="727">
      <c r="M727" s="38"/>
    </row>
    <row r="728">
      <c r="M728" s="38"/>
    </row>
    <row r="729">
      <c r="M729" s="38"/>
    </row>
    <row r="730">
      <c r="M730" s="38"/>
    </row>
    <row r="731">
      <c r="M731" s="38"/>
    </row>
    <row r="732">
      <c r="M732" s="38"/>
    </row>
    <row r="733">
      <c r="M733" s="38"/>
    </row>
    <row r="734">
      <c r="M734" s="38"/>
    </row>
    <row r="735">
      <c r="M735" s="38"/>
    </row>
    <row r="736">
      <c r="M736" s="38"/>
    </row>
    <row r="737">
      <c r="M737" s="38"/>
    </row>
    <row r="738">
      <c r="M738" s="38"/>
    </row>
    <row r="739">
      <c r="M739" s="38"/>
    </row>
    <row r="740">
      <c r="M740" s="38"/>
    </row>
    <row r="741">
      <c r="M741" s="38"/>
    </row>
    <row r="742">
      <c r="M742" s="38"/>
    </row>
    <row r="743">
      <c r="M743" s="38"/>
    </row>
    <row r="744">
      <c r="M744" s="38"/>
    </row>
    <row r="745">
      <c r="M745" s="38"/>
    </row>
    <row r="746">
      <c r="M746" s="38"/>
    </row>
    <row r="747">
      <c r="M747" s="38"/>
    </row>
    <row r="748">
      <c r="M748" s="38"/>
    </row>
    <row r="749">
      <c r="M749" s="38"/>
    </row>
    <row r="750">
      <c r="M750" s="38"/>
    </row>
    <row r="751">
      <c r="M751" s="38"/>
    </row>
    <row r="752">
      <c r="M752" s="38"/>
    </row>
    <row r="753">
      <c r="M753" s="38"/>
    </row>
    <row r="754">
      <c r="M754" s="38"/>
    </row>
    <row r="755">
      <c r="M755" s="38"/>
    </row>
    <row r="756">
      <c r="M756" s="38"/>
    </row>
    <row r="757">
      <c r="M757" s="38"/>
    </row>
    <row r="758">
      <c r="M758" s="38"/>
    </row>
    <row r="759">
      <c r="M759" s="38"/>
    </row>
    <row r="760">
      <c r="M760" s="38"/>
    </row>
    <row r="761">
      <c r="M761" s="38"/>
    </row>
    <row r="762">
      <c r="M762" s="38"/>
    </row>
    <row r="763">
      <c r="M763" s="38"/>
    </row>
    <row r="764">
      <c r="M764" s="38"/>
    </row>
    <row r="765">
      <c r="M765" s="38"/>
    </row>
    <row r="766">
      <c r="M766" s="38"/>
    </row>
    <row r="767">
      <c r="M767" s="38"/>
    </row>
    <row r="768">
      <c r="M768" s="38"/>
    </row>
    <row r="769">
      <c r="M769" s="38"/>
    </row>
    <row r="770">
      <c r="M770" s="38"/>
    </row>
    <row r="771">
      <c r="M771" s="38"/>
    </row>
    <row r="772">
      <c r="M772" s="38"/>
    </row>
    <row r="773">
      <c r="M773" s="38"/>
    </row>
    <row r="774">
      <c r="M774" s="38"/>
    </row>
    <row r="775">
      <c r="M775" s="38"/>
    </row>
    <row r="776">
      <c r="M776" s="38"/>
    </row>
    <row r="777">
      <c r="M777" s="38"/>
    </row>
    <row r="778">
      <c r="M778" s="38"/>
    </row>
    <row r="779">
      <c r="M779" s="38"/>
    </row>
    <row r="780">
      <c r="M780" s="38"/>
    </row>
    <row r="781">
      <c r="M781" s="38"/>
    </row>
    <row r="782">
      <c r="M782" s="38"/>
    </row>
    <row r="783">
      <c r="M783" s="38"/>
    </row>
    <row r="784">
      <c r="M784" s="38"/>
    </row>
    <row r="785">
      <c r="M785" s="38"/>
    </row>
    <row r="786">
      <c r="M786" s="38"/>
    </row>
    <row r="787">
      <c r="M787" s="38"/>
    </row>
    <row r="788">
      <c r="M788" s="38"/>
    </row>
    <row r="789">
      <c r="M789" s="38"/>
    </row>
    <row r="790">
      <c r="M790" s="38"/>
    </row>
    <row r="791">
      <c r="M791" s="38"/>
    </row>
    <row r="792">
      <c r="M792" s="38"/>
    </row>
    <row r="793">
      <c r="M793" s="38"/>
    </row>
    <row r="794">
      <c r="M794" s="38"/>
    </row>
    <row r="795">
      <c r="M795" s="38"/>
    </row>
    <row r="796">
      <c r="M796" s="38"/>
    </row>
    <row r="797">
      <c r="M797" s="38"/>
    </row>
    <row r="798">
      <c r="M798" s="38"/>
    </row>
    <row r="799">
      <c r="M799" s="38"/>
    </row>
    <row r="800">
      <c r="M800" s="38"/>
    </row>
    <row r="801">
      <c r="M801" s="38"/>
    </row>
    <row r="802">
      <c r="M802" s="38"/>
    </row>
    <row r="803">
      <c r="M803" s="38"/>
    </row>
    <row r="804">
      <c r="M804" s="38"/>
    </row>
    <row r="805">
      <c r="M805" s="38"/>
    </row>
    <row r="806">
      <c r="M806" s="38"/>
    </row>
    <row r="807">
      <c r="M807" s="38"/>
    </row>
    <row r="808">
      <c r="M808" s="38"/>
    </row>
    <row r="809">
      <c r="M809" s="38"/>
    </row>
    <row r="810">
      <c r="M810" s="38"/>
    </row>
    <row r="811">
      <c r="M811" s="38"/>
    </row>
    <row r="812">
      <c r="M812" s="38"/>
    </row>
    <row r="813">
      <c r="M813" s="38"/>
    </row>
    <row r="814">
      <c r="M814" s="38"/>
    </row>
    <row r="815">
      <c r="M815" s="38"/>
    </row>
    <row r="816">
      <c r="M816" s="38"/>
    </row>
    <row r="817">
      <c r="M817" s="38"/>
    </row>
    <row r="818">
      <c r="M818" s="38"/>
    </row>
    <row r="819">
      <c r="M819" s="38"/>
    </row>
    <row r="820">
      <c r="M820" s="38"/>
    </row>
    <row r="821">
      <c r="M821" s="38"/>
    </row>
    <row r="822">
      <c r="M822" s="38"/>
    </row>
    <row r="823">
      <c r="M823" s="38"/>
    </row>
    <row r="824">
      <c r="M824" s="38"/>
    </row>
    <row r="825">
      <c r="M825" s="38"/>
    </row>
    <row r="826">
      <c r="M826" s="38"/>
    </row>
    <row r="827">
      <c r="M827" s="38"/>
    </row>
    <row r="828">
      <c r="M828" s="38"/>
    </row>
    <row r="829">
      <c r="M829" s="38"/>
    </row>
    <row r="830">
      <c r="M830" s="38"/>
    </row>
    <row r="831">
      <c r="M831" s="38"/>
    </row>
    <row r="832">
      <c r="M832" s="38"/>
    </row>
    <row r="833">
      <c r="M833" s="38"/>
    </row>
    <row r="834">
      <c r="M834" s="38"/>
    </row>
    <row r="835">
      <c r="M835" s="38"/>
    </row>
    <row r="836">
      <c r="M836" s="38"/>
    </row>
    <row r="837">
      <c r="M837" s="38"/>
    </row>
    <row r="838">
      <c r="M838" s="38"/>
    </row>
    <row r="839">
      <c r="M839" s="38"/>
    </row>
    <row r="840">
      <c r="M840" s="38"/>
    </row>
    <row r="841">
      <c r="M841" s="38"/>
    </row>
    <row r="842">
      <c r="M842" s="38"/>
    </row>
    <row r="843">
      <c r="M843" s="38"/>
    </row>
    <row r="844">
      <c r="M844" s="38"/>
    </row>
    <row r="845">
      <c r="M845" s="38"/>
    </row>
    <row r="846">
      <c r="M846" s="38"/>
    </row>
    <row r="847">
      <c r="M847" s="38"/>
    </row>
    <row r="848">
      <c r="M848" s="38"/>
    </row>
    <row r="849">
      <c r="M849" s="38"/>
    </row>
    <row r="850">
      <c r="M850" s="38"/>
    </row>
    <row r="851">
      <c r="M851" s="38"/>
    </row>
    <row r="852">
      <c r="M852" s="38"/>
    </row>
    <row r="853">
      <c r="M853" s="38"/>
    </row>
    <row r="854">
      <c r="M854" s="38"/>
    </row>
    <row r="855">
      <c r="M855" s="38"/>
    </row>
    <row r="856">
      <c r="M856" s="38"/>
    </row>
    <row r="857">
      <c r="M857" s="38"/>
    </row>
    <row r="858">
      <c r="M858" s="38"/>
    </row>
    <row r="859">
      <c r="M859" s="38"/>
    </row>
    <row r="860">
      <c r="M860" s="38"/>
    </row>
    <row r="861">
      <c r="M861" s="38"/>
    </row>
    <row r="862">
      <c r="M862" s="38"/>
    </row>
    <row r="863">
      <c r="M863" s="38"/>
    </row>
    <row r="864">
      <c r="M864" s="38"/>
    </row>
    <row r="865">
      <c r="M865" s="38"/>
    </row>
    <row r="866">
      <c r="M866" s="38"/>
    </row>
    <row r="867">
      <c r="M867" s="38"/>
    </row>
    <row r="868">
      <c r="M868" s="38"/>
    </row>
    <row r="869">
      <c r="M869" s="38"/>
    </row>
    <row r="870">
      <c r="M870" s="38"/>
    </row>
    <row r="871">
      <c r="M871" s="38"/>
    </row>
    <row r="872">
      <c r="M872" s="38"/>
    </row>
    <row r="873">
      <c r="M873" s="38"/>
    </row>
    <row r="874">
      <c r="M874" s="38"/>
    </row>
    <row r="875">
      <c r="M875" s="38"/>
    </row>
    <row r="876">
      <c r="M876" s="38"/>
    </row>
    <row r="877">
      <c r="M877" s="38"/>
    </row>
    <row r="878">
      <c r="M878" s="38"/>
    </row>
    <row r="879">
      <c r="M879" s="38"/>
    </row>
    <row r="880">
      <c r="M880" s="38"/>
    </row>
    <row r="881">
      <c r="M881" s="38"/>
    </row>
    <row r="882">
      <c r="M882" s="38"/>
    </row>
    <row r="883">
      <c r="M883" s="38"/>
    </row>
    <row r="884">
      <c r="M884" s="38"/>
    </row>
    <row r="885">
      <c r="M885" s="38"/>
    </row>
    <row r="886">
      <c r="M886" s="38"/>
    </row>
    <row r="887">
      <c r="M887" s="38"/>
    </row>
    <row r="888">
      <c r="M888" s="38"/>
    </row>
    <row r="889">
      <c r="M889" s="38"/>
    </row>
    <row r="890">
      <c r="M890" s="38"/>
    </row>
    <row r="891">
      <c r="M891" s="38"/>
    </row>
    <row r="892">
      <c r="M892" s="38"/>
    </row>
    <row r="893">
      <c r="M893" s="38"/>
    </row>
    <row r="894">
      <c r="M894" s="38"/>
    </row>
    <row r="895">
      <c r="M895" s="38"/>
    </row>
    <row r="896">
      <c r="M896" s="38"/>
    </row>
    <row r="897">
      <c r="M897" s="38"/>
    </row>
    <row r="898">
      <c r="M898" s="38"/>
    </row>
    <row r="899">
      <c r="M899" s="38"/>
    </row>
    <row r="900">
      <c r="M900" s="38"/>
    </row>
    <row r="901">
      <c r="M901" s="38"/>
    </row>
    <row r="902">
      <c r="M902" s="38"/>
    </row>
    <row r="903">
      <c r="M903" s="38"/>
    </row>
    <row r="904">
      <c r="M904" s="38"/>
    </row>
    <row r="905">
      <c r="M905" s="38"/>
    </row>
    <row r="906">
      <c r="M906" s="38"/>
    </row>
    <row r="907">
      <c r="M907" s="38"/>
    </row>
    <row r="908">
      <c r="M908" s="38"/>
    </row>
    <row r="909">
      <c r="M909" s="38"/>
    </row>
    <row r="910">
      <c r="M910" s="38"/>
    </row>
    <row r="911">
      <c r="M911" s="38"/>
    </row>
    <row r="912">
      <c r="M912" s="38"/>
    </row>
    <row r="913">
      <c r="M913" s="38"/>
    </row>
    <row r="914">
      <c r="M914" s="38"/>
    </row>
    <row r="915">
      <c r="M915" s="38"/>
    </row>
    <row r="916">
      <c r="M916" s="38"/>
    </row>
    <row r="917">
      <c r="M917" s="38"/>
    </row>
    <row r="918">
      <c r="M918" s="38"/>
    </row>
    <row r="919">
      <c r="M919" s="38"/>
    </row>
    <row r="920">
      <c r="M920" s="38"/>
    </row>
    <row r="921">
      <c r="M921" s="38"/>
    </row>
    <row r="922">
      <c r="M922" s="38"/>
    </row>
    <row r="923">
      <c r="M923" s="38"/>
    </row>
    <row r="924">
      <c r="M924" s="38"/>
    </row>
    <row r="925">
      <c r="M925" s="38"/>
    </row>
    <row r="926">
      <c r="M926" s="38"/>
    </row>
    <row r="927">
      <c r="M927" s="38"/>
    </row>
    <row r="928">
      <c r="M928" s="38"/>
    </row>
    <row r="929">
      <c r="M929" s="38"/>
    </row>
    <row r="930">
      <c r="M930" s="38"/>
    </row>
    <row r="931">
      <c r="M931" s="38"/>
    </row>
    <row r="932">
      <c r="M932" s="38"/>
    </row>
    <row r="933">
      <c r="M933" s="38"/>
    </row>
    <row r="934">
      <c r="M934" s="38"/>
    </row>
    <row r="935">
      <c r="M935" s="38"/>
    </row>
    <row r="936">
      <c r="M936" s="38"/>
    </row>
    <row r="937">
      <c r="M937" s="38"/>
    </row>
    <row r="938">
      <c r="M938" s="38"/>
    </row>
    <row r="939">
      <c r="M939" s="38"/>
    </row>
    <row r="940">
      <c r="M940" s="38"/>
    </row>
    <row r="941">
      <c r="M941" s="38"/>
    </row>
    <row r="942">
      <c r="M942" s="38"/>
    </row>
    <row r="943">
      <c r="M943" s="38"/>
    </row>
    <row r="944">
      <c r="M944" s="38"/>
    </row>
    <row r="945">
      <c r="M945" s="38"/>
    </row>
    <row r="946">
      <c r="M946" s="38"/>
    </row>
    <row r="947">
      <c r="M947" s="38"/>
    </row>
    <row r="948">
      <c r="M948" s="38"/>
    </row>
    <row r="949">
      <c r="M949" s="38"/>
    </row>
    <row r="950">
      <c r="M950" s="38"/>
    </row>
    <row r="951">
      <c r="M951" s="38"/>
    </row>
    <row r="952">
      <c r="M952" s="38"/>
    </row>
    <row r="953">
      <c r="M953" s="38"/>
    </row>
    <row r="954">
      <c r="M954" s="38"/>
    </row>
    <row r="955">
      <c r="M955" s="38"/>
    </row>
    <row r="956">
      <c r="M956" s="38"/>
    </row>
    <row r="957">
      <c r="M957" s="38"/>
    </row>
    <row r="958">
      <c r="M958" s="38"/>
    </row>
    <row r="959">
      <c r="M959" s="38"/>
    </row>
    <row r="960">
      <c r="M960" s="38"/>
    </row>
    <row r="961">
      <c r="M961" s="38"/>
    </row>
    <row r="962">
      <c r="M962" s="38"/>
    </row>
    <row r="963">
      <c r="M963" s="38"/>
    </row>
    <row r="964">
      <c r="M964" s="38"/>
    </row>
    <row r="965">
      <c r="M965" s="38"/>
    </row>
    <row r="966">
      <c r="M966" s="38"/>
    </row>
    <row r="967">
      <c r="M967" s="38"/>
    </row>
    <row r="968">
      <c r="M968" s="38"/>
    </row>
    <row r="969">
      <c r="M969" s="38"/>
    </row>
    <row r="970">
      <c r="M970" s="38"/>
    </row>
    <row r="971">
      <c r="M971" s="38"/>
    </row>
    <row r="972">
      <c r="M972" s="38"/>
    </row>
    <row r="973">
      <c r="M973" s="38"/>
    </row>
    <row r="974">
      <c r="M974" s="38"/>
    </row>
    <row r="975">
      <c r="M975" s="38"/>
    </row>
    <row r="976">
      <c r="M976" s="38"/>
    </row>
    <row r="977">
      <c r="M977" s="38"/>
    </row>
    <row r="978">
      <c r="M978" s="38"/>
    </row>
    <row r="979">
      <c r="M979" s="38"/>
    </row>
    <row r="980">
      <c r="M980" s="38"/>
    </row>
    <row r="981">
      <c r="M981" s="38"/>
    </row>
    <row r="982">
      <c r="M982" s="38"/>
    </row>
    <row r="983">
      <c r="M983" s="38"/>
    </row>
    <row r="984">
      <c r="M984" s="38"/>
    </row>
    <row r="985">
      <c r="M985" s="38"/>
    </row>
    <row r="986">
      <c r="M986" s="38"/>
    </row>
    <row r="987">
      <c r="M987" s="38"/>
    </row>
    <row r="988">
      <c r="M988" s="38"/>
    </row>
    <row r="989">
      <c r="M989" s="38"/>
    </row>
    <row r="990">
      <c r="M990" s="38"/>
    </row>
    <row r="991">
      <c r="M991" s="38"/>
    </row>
    <row r="992">
      <c r="M992" s="38"/>
    </row>
    <row r="993">
      <c r="M993" s="38"/>
    </row>
    <row r="994">
      <c r="M994" s="38"/>
    </row>
    <row r="995">
      <c r="M995" s="38"/>
    </row>
    <row r="996">
      <c r="M996" s="38"/>
    </row>
    <row r="997">
      <c r="M997" s="38"/>
    </row>
    <row r="998">
      <c r="M998" s="38"/>
    </row>
    <row r="999">
      <c r="M999" s="38"/>
    </row>
    <row r="1000">
      <c r="M1000" s="38"/>
    </row>
    <row r="1001">
      <c r="M1001" s="38"/>
    </row>
    <row r="1002">
      <c r="M1002" s="38"/>
    </row>
    <row r="1003">
      <c r="M1003" s="38"/>
    </row>
    <row r="1004">
      <c r="M1004" s="38"/>
    </row>
    <row r="1005">
      <c r="M1005" s="38"/>
    </row>
    <row r="1006">
      <c r="M1006" s="38"/>
    </row>
    <row r="1007">
      <c r="M1007" s="38"/>
    </row>
    <row r="1008">
      <c r="M1008" s="38"/>
    </row>
    <row r="1009">
      <c r="M1009" s="38"/>
    </row>
    <row r="1010">
      <c r="M1010" s="38"/>
    </row>
    <row r="1011">
      <c r="M1011" s="38"/>
    </row>
    <row r="1012">
      <c r="M1012" s="38"/>
    </row>
    <row r="1013">
      <c r="M1013" s="38"/>
    </row>
    <row r="1014">
      <c r="M1014" s="38"/>
    </row>
    <row r="1015">
      <c r="M1015" s="38"/>
    </row>
    <row r="1016">
      <c r="M1016" s="38"/>
    </row>
    <row r="1017">
      <c r="M1017" s="38"/>
    </row>
    <row r="1018">
      <c r="M1018" s="38"/>
    </row>
    <row r="1019">
      <c r="M1019" s="38"/>
    </row>
    <row r="1020">
      <c r="M1020" s="38"/>
    </row>
    <row r="1021">
      <c r="M1021" s="38"/>
    </row>
    <row r="1022">
      <c r="M1022" s="38"/>
    </row>
    <row r="1023">
      <c r="M1023" s="38"/>
    </row>
    <row r="1024">
      <c r="M1024" s="38"/>
    </row>
    <row r="1025">
      <c r="M1025" s="38"/>
    </row>
    <row r="1026">
      <c r="M1026" s="38"/>
    </row>
    <row r="1027">
      <c r="M1027" s="38"/>
    </row>
    <row r="1028">
      <c r="M1028" s="38"/>
    </row>
    <row r="1029">
      <c r="M1029" s="38"/>
    </row>
    <row r="1030">
      <c r="M1030" s="38"/>
    </row>
    <row r="1031">
      <c r="M1031" s="38"/>
    </row>
    <row r="1032">
      <c r="M1032" s="38"/>
    </row>
    <row r="1033">
      <c r="M1033" s="38"/>
    </row>
    <row r="1034">
      <c r="M1034" s="38"/>
    </row>
    <row r="1035">
      <c r="M1035" s="38"/>
    </row>
    <row r="1036">
      <c r="M1036" s="38"/>
    </row>
    <row r="1037">
      <c r="M1037" s="38"/>
    </row>
    <row r="1038">
      <c r="M1038" s="38"/>
    </row>
    <row r="1039">
      <c r="M1039" s="38"/>
    </row>
    <row r="1040">
      <c r="M1040" s="38"/>
    </row>
    <row r="1041">
      <c r="M1041" s="38"/>
    </row>
    <row r="1042">
      <c r="M1042" s="38"/>
    </row>
    <row r="1043">
      <c r="M1043" s="38"/>
    </row>
  </sheetData>
  <autoFilter ref="$A$1:$BV$23"/>
  <dataValidations>
    <dataValidation type="list" allowBlank="1" showErrorMessage="1" sqref="J2:J115">
      <formula1>"escola/faculdade,Energia,gift,cursos,streaming,combustivel,contabilidade,estacionamentos,Internet movel,Internet,academia,Feira,farmacia,seguro,Pet,mercado,Cabeleireiro,Vestuario,outros,utilizades domesticas,Lazer,material escolar,Uber,Iptu,manutencao vei"&amp;"culo,Padaria,Manutenção casa,manutenção domiciliar,manutencao veicular,ferias"</formula1>
    </dataValidation>
  </dataValidations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</row>
    <row r="2">
      <c r="A2" s="1" t="s">
        <v>95</v>
      </c>
      <c r="B2" s="1">
        <v>5.0</v>
      </c>
      <c r="C2" s="37">
        <v>660.0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</row>
    <row r="3">
      <c r="A3" s="1" t="s">
        <v>102</v>
      </c>
      <c r="B3" s="1">
        <v>7.0</v>
      </c>
      <c r="C3" s="52">
        <f>(3375.75)-(3375.75*0.7636)</f>
        <v>798.0273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</row>
    <row r="5">
      <c r="A5" s="1" t="s">
        <v>106</v>
      </c>
      <c r="B5" s="1">
        <v>14.0</v>
      </c>
      <c r="C5" s="37">
        <v>511.0</v>
      </c>
      <c r="D5" s="1" t="s">
        <v>96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</row>
    <row r="6">
      <c r="A6" s="1" t="s">
        <v>111</v>
      </c>
      <c r="B6" s="1">
        <v>11.0</v>
      </c>
      <c r="C6" s="37">
        <v>99.0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</row>
    <row r="8">
      <c r="A8" s="1" t="s">
        <v>116</v>
      </c>
      <c r="B8" s="1">
        <v>30.0</v>
      </c>
      <c r="C8" s="37">
        <v>13.95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</row>
    <row r="9">
      <c r="A9" s="1" t="s">
        <v>119</v>
      </c>
      <c r="B9" s="1"/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</row>
    <row r="11">
      <c r="A11" s="1" t="s">
        <v>122</v>
      </c>
      <c r="B11" s="1">
        <v>2.0</v>
      </c>
      <c r="C11" s="37">
        <v>9.9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</row>
    <row r="12">
      <c r="A12" s="1" t="s">
        <v>123</v>
      </c>
      <c r="B12" s="1">
        <v>15.0</v>
      </c>
      <c r="C12" s="41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</row>
    <row r="15">
      <c r="A15" s="1" t="s">
        <v>126</v>
      </c>
      <c r="B15" s="1">
        <v>27.0</v>
      </c>
      <c r="C15" s="37">
        <v>206.99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</row>
    <row r="16">
      <c r="A16" s="1" t="s">
        <v>128</v>
      </c>
      <c r="B16" s="1">
        <v>2.0</v>
      </c>
      <c r="C16" s="37">
        <v>0.0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>
        <v>45272.0</v>
      </c>
      <c r="L16" s="1" t="s">
        <v>101</v>
      </c>
    </row>
    <row r="17">
      <c r="A17" s="1" t="s">
        <v>130</v>
      </c>
      <c r="B17" s="1">
        <v>27.0</v>
      </c>
      <c r="C17" s="37">
        <f>69.9</f>
        <v>69.9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</row>
    <row r="18">
      <c r="A18" s="1" t="s">
        <v>372</v>
      </c>
      <c r="B18" s="1">
        <v>10.0</v>
      </c>
      <c r="C18" s="37">
        <v>0.0</v>
      </c>
      <c r="D18" s="37">
        <v>0.0</v>
      </c>
      <c r="E18" s="1" t="s">
        <v>105</v>
      </c>
      <c r="F18" s="1" t="s">
        <v>115</v>
      </c>
      <c r="G18" s="1" t="s">
        <v>98</v>
      </c>
      <c r="J18" s="1" t="s">
        <v>15</v>
      </c>
    </row>
    <row r="19">
      <c r="A19" s="1" t="s">
        <v>895</v>
      </c>
      <c r="B19" s="1">
        <v>10.0</v>
      </c>
      <c r="C19" s="37">
        <v>0.0</v>
      </c>
      <c r="D19" s="37">
        <v>250.0</v>
      </c>
      <c r="E19" s="1" t="s">
        <v>105</v>
      </c>
      <c r="F19" s="1" t="s">
        <v>107</v>
      </c>
      <c r="G19" s="1" t="s">
        <v>98</v>
      </c>
      <c r="H19" s="1" t="s">
        <v>109</v>
      </c>
      <c r="I19" s="1" t="s">
        <v>100</v>
      </c>
      <c r="J19" s="1" t="s">
        <v>28</v>
      </c>
    </row>
    <row r="20">
      <c r="A20" s="1" t="s">
        <v>625</v>
      </c>
      <c r="C20" s="37">
        <v>0.0</v>
      </c>
      <c r="D20" s="1" t="s">
        <v>913</v>
      </c>
      <c r="J20" s="1" t="s">
        <v>995</v>
      </c>
    </row>
    <row r="21">
      <c r="A21" s="1" t="s">
        <v>914</v>
      </c>
      <c r="C21" s="37">
        <v>0.0</v>
      </c>
      <c r="D21" s="37">
        <v>0.0</v>
      </c>
      <c r="J21" s="1" t="s">
        <v>42</v>
      </c>
    </row>
    <row r="22">
      <c r="A22" s="1" t="s">
        <v>915</v>
      </c>
      <c r="C22" s="37">
        <v>0.0</v>
      </c>
      <c r="D22" s="1" t="s">
        <v>96</v>
      </c>
      <c r="E22" s="1" t="s">
        <v>132</v>
      </c>
      <c r="F22" s="1" t="s">
        <v>916</v>
      </c>
      <c r="G22" s="1" t="s">
        <v>98</v>
      </c>
      <c r="J22" s="1" t="s">
        <v>28</v>
      </c>
    </row>
    <row r="23">
      <c r="A23" s="1" t="s">
        <v>917</v>
      </c>
      <c r="B23" s="1"/>
      <c r="C23" s="37">
        <v>0.0</v>
      </c>
      <c r="D23" s="1" t="s">
        <v>96</v>
      </c>
      <c r="E23" s="1" t="s">
        <v>132</v>
      </c>
      <c r="G23" s="1" t="s">
        <v>98</v>
      </c>
      <c r="J23" s="1" t="s">
        <v>42</v>
      </c>
    </row>
    <row r="24">
      <c r="A24" s="1" t="s">
        <v>536</v>
      </c>
      <c r="B24" s="1">
        <v>3.0</v>
      </c>
      <c r="C24" s="1">
        <v>30.0</v>
      </c>
      <c r="D24" s="1" t="s">
        <v>112</v>
      </c>
      <c r="E24" s="1" t="s">
        <v>132</v>
      </c>
      <c r="G24" s="1"/>
      <c r="J24" s="1" t="s">
        <v>21</v>
      </c>
    </row>
    <row r="25">
      <c r="A25" s="1" t="s">
        <v>512</v>
      </c>
      <c r="B25" s="1">
        <v>3.0</v>
      </c>
      <c r="C25" s="1">
        <v>30.0</v>
      </c>
      <c r="D25" s="1" t="s">
        <v>112</v>
      </c>
      <c r="E25" s="1" t="s">
        <v>132</v>
      </c>
      <c r="G25" s="1"/>
      <c r="J25" s="1" t="s">
        <v>21</v>
      </c>
    </row>
    <row r="26">
      <c r="A26" s="1" t="s">
        <v>611</v>
      </c>
      <c r="B26" s="1">
        <v>5.0</v>
      </c>
      <c r="C26" s="1">
        <v>50.0</v>
      </c>
      <c r="D26" s="1" t="s">
        <v>96</v>
      </c>
      <c r="E26" s="1" t="s">
        <v>132</v>
      </c>
      <c r="G26" s="1"/>
      <c r="J26" s="1" t="s">
        <v>996</v>
      </c>
    </row>
    <row r="27">
      <c r="A27" s="1" t="s">
        <v>612</v>
      </c>
      <c r="B27" s="1">
        <v>1.0</v>
      </c>
      <c r="C27" s="1">
        <v>42.65</v>
      </c>
      <c r="D27" s="1" t="s">
        <v>112</v>
      </c>
      <c r="E27" s="1" t="s">
        <v>105</v>
      </c>
      <c r="G27" s="1"/>
      <c r="J27" s="1" t="s">
        <v>18</v>
      </c>
    </row>
    <row r="28">
      <c r="A28" s="1" t="s">
        <v>932</v>
      </c>
      <c r="B28" s="1">
        <v>1.0</v>
      </c>
      <c r="C28" s="1">
        <v>136.68</v>
      </c>
      <c r="D28" s="1" t="s">
        <v>112</v>
      </c>
      <c r="E28" s="1" t="s">
        <v>105</v>
      </c>
      <c r="G28" s="1"/>
      <c r="J28" s="1" t="s">
        <v>42</v>
      </c>
      <c r="K28" s="42">
        <v>44986.0</v>
      </c>
    </row>
    <row r="29">
      <c r="A29" s="1" t="s">
        <v>997</v>
      </c>
      <c r="B29" s="1">
        <v>1.0</v>
      </c>
      <c r="C29" s="1">
        <v>7.4</v>
      </c>
      <c r="D29" s="1" t="s">
        <v>96</v>
      </c>
      <c r="E29" s="1" t="s">
        <v>105</v>
      </c>
      <c r="J29" s="1" t="s">
        <v>765</v>
      </c>
    </row>
    <row r="30">
      <c r="A30" s="1" t="s">
        <v>862</v>
      </c>
      <c r="B30" s="1">
        <v>1.0</v>
      </c>
      <c r="C30" s="1">
        <v>840.0</v>
      </c>
      <c r="D30" s="1" t="s">
        <v>96</v>
      </c>
      <c r="E30" s="1" t="s">
        <v>105</v>
      </c>
      <c r="G30" s="1"/>
      <c r="J30" s="1" t="s">
        <v>998</v>
      </c>
    </row>
    <row r="31">
      <c r="A31" s="1" t="s">
        <v>862</v>
      </c>
      <c r="B31" s="1">
        <v>1.0</v>
      </c>
      <c r="C31" s="1">
        <v>550.0</v>
      </c>
      <c r="D31" s="1" t="s">
        <v>96</v>
      </c>
      <c r="E31" s="1" t="s">
        <v>105</v>
      </c>
      <c r="G31" s="1"/>
      <c r="J31" s="1" t="s">
        <v>998</v>
      </c>
    </row>
    <row r="32">
      <c r="A32" s="1" t="s">
        <v>467</v>
      </c>
      <c r="B32" s="1">
        <v>1.0</v>
      </c>
      <c r="C32" s="1">
        <v>40.69</v>
      </c>
      <c r="D32" s="1" t="s">
        <v>96</v>
      </c>
      <c r="E32" s="1" t="s">
        <v>105</v>
      </c>
      <c r="G32" s="1"/>
      <c r="J32" s="1" t="s">
        <v>18</v>
      </c>
    </row>
    <row r="33">
      <c r="A33" s="1" t="s">
        <v>957</v>
      </c>
      <c r="B33" s="1">
        <v>1.0</v>
      </c>
      <c r="C33" s="1">
        <v>154.68</v>
      </c>
      <c r="D33" s="1" t="s">
        <v>96</v>
      </c>
      <c r="E33" s="1" t="s">
        <v>105</v>
      </c>
      <c r="G33" s="1"/>
      <c r="J33" s="1" t="s">
        <v>29</v>
      </c>
    </row>
    <row r="34">
      <c r="A34" s="1" t="s">
        <v>999</v>
      </c>
      <c r="B34" s="1">
        <v>5.0</v>
      </c>
      <c r="C34" s="1">
        <v>9.0</v>
      </c>
      <c r="D34" s="1" t="s">
        <v>96</v>
      </c>
      <c r="E34" s="1" t="s">
        <v>117</v>
      </c>
      <c r="G34" s="1"/>
      <c r="J34" s="1" t="s">
        <v>996</v>
      </c>
    </row>
    <row r="35">
      <c r="A35" s="1" t="s">
        <v>142</v>
      </c>
      <c r="B35" s="1">
        <v>5.0</v>
      </c>
      <c r="C35" s="1">
        <v>28.0</v>
      </c>
      <c r="D35" s="1" t="s">
        <v>96</v>
      </c>
      <c r="E35" s="1" t="s">
        <v>117</v>
      </c>
      <c r="G35" s="1"/>
      <c r="J35" s="1" t="s">
        <v>264</v>
      </c>
    </row>
    <row r="36">
      <c r="A36" s="1" t="s">
        <v>1000</v>
      </c>
      <c r="B36" s="1">
        <v>5.0</v>
      </c>
      <c r="C36" s="1">
        <v>20.0</v>
      </c>
      <c r="D36" s="1" t="s">
        <v>96</v>
      </c>
      <c r="E36" s="1" t="s">
        <v>117</v>
      </c>
      <c r="G36" s="1"/>
      <c r="J36" s="1" t="s">
        <v>18</v>
      </c>
    </row>
    <row r="37">
      <c r="A37" s="1" t="s">
        <v>1001</v>
      </c>
      <c r="B37" s="1">
        <v>5.0</v>
      </c>
      <c r="C37" s="1">
        <v>20.0</v>
      </c>
      <c r="D37" s="1" t="s">
        <v>96</v>
      </c>
      <c r="E37" s="1" t="s">
        <v>117</v>
      </c>
      <c r="G37" s="1"/>
      <c r="J37" s="1" t="s">
        <v>18</v>
      </c>
    </row>
    <row r="38">
      <c r="A38" s="1" t="s">
        <v>1002</v>
      </c>
      <c r="B38" s="1">
        <v>4.0</v>
      </c>
      <c r="C38" s="1">
        <v>29.98</v>
      </c>
      <c r="D38" s="1" t="s">
        <v>96</v>
      </c>
      <c r="E38" s="1" t="s">
        <v>117</v>
      </c>
      <c r="G38" s="1"/>
      <c r="J38" s="1" t="s">
        <v>1002</v>
      </c>
    </row>
    <row r="39">
      <c r="A39" s="1" t="s">
        <v>1003</v>
      </c>
      <c r="B39" s="1">
        <v>4.0</v>
      </c>
      <c r="C39" s="1">
        <v>9.42</v>
      </c>
      <c r="D39" s="1" t="s">
        <v>96</v>
      </c>
      <c r="E39" s="1" t="s">
        <v>117</v>
      </c>
      <c r="G39" s="1"/>
      <c r="J39" s="1" t="s">
        <v>29</v>
      </c>
    </row>
    <row r="40">
      <c r="A40" s="1" t="s">
        <v>929</v>
      </c>
      <c r="B40" s="1">
        <v>4.0</v>
      </c>
      <c r="C40" s="1">
        <v>35.3</v>
      </c>
      <c r="D40" s="1" t="s">
        <v>96</v>
      </c>
      <c r="E40" s="1" t="s">
        <v>117</v>
      </c>
      <c r="G40" s="1"/>
      <c r="J40" s="1" t="s">
        <v>998</v>
      </c>
    </row>
    <row r="41">
      <c r="A41" s="1" t="s">
        <v>425</v>
      </c>
      <c r="B41" s="1">
        <v>3.0</v>
      </c>
      <c r="C41" s="1">
        <v>19.8</v>
      </c>
      <c r="D41" s="1" t="s">
        <v>96</v>
      </c>
      <c r="E41" s="1" t="s">
        <v>117</v>
      </c>
      <c r="G41" s="1"/>
      <c r="J41" s="1" t="s">
        <v>765</v>
      </c>
    </row>
    <row r="42">
      <c r="A42" s="1" t="s">
        <v>161</v>
      </c>
      <c r="B42" s="1">
        <v>3.0</v>
      </c>
      <c r="C42" s="1">
        <v>6.79</v>
      </c>
      <c r="D42" s="1" t="s">
        <v>96</v>
      </c>
      <c r="E42" s="1" t="s">
        <v>117</v>
      </c>
      <c r="G42" s="1"/>
      <c r="J42" s="1" t="s">
        <v>29</v>
      </c>
    </row>
    <row r="43">
      <c r="A43" s="1" t="s">
        <v>39</v>
      </c>
      <c r="B43" s="1">
        <v>3.0</v>
      </c>
      <c r="C43" s="1">
        <v>5.0</v>
      </c>
      <c r="D43" s="1" t="s">
        <v>96</v>
      </c>
      <c r="E43" s="1" t="s">
        <v>117</v>
      </c>
      <c r="G43" s="1"/>
      <c r="J43" s="1" t="s">
        <v>154</v>
      </c>
    </row>
    <row r="44">
      <c r="A44" s="1" t="s">
        <v>1004</v>
      </c>
      <c r="B44" s="1">
        <v>13.0</v>
      </c>
      <c r="C44" s="1">
        <v>64.85</v>
      </c>
      <c r="D44" s="1" t="s">
        <v>96</v>
      </c>
      <c r="E44" s="1" t="s">
        <v>117</v>
      </c>
      <c r="G44" s="1"/>
      <c r="J44" s="1" t="s">
        <v>29</v>
      </c>
    </row>
    <row r="45">
      <c r="A45" s="1" t="s">
        <v>1005</v>
      </c>
      <c r="B45" s="1">
        <v>13.0</v>
      </c>
      <c r="C45" s="1">
        <v>49.67</v>
      </c>
      <c r="D45" s="1" t="s">
        <v>96</v>
      </c>
      <c r="E45" s="1" t="s">
        <v>117</v>
      </c>
      <c r="G45" s="1"/>
      <c r="J45" s="1" t="s">
        <v>18</v>
      </c>
    </row>
    <row r="46">
      <c r="A46" s="1" t="s">
        <v>1006</v>
      </c>
      <c r="B46" s="1">
        <v>12.0</v>
      </c>
      <c r="C46" s="1">
        <v>62.9</v>
      </c>
      <c r="D46" s="1" t="s">
        <v>96</v>
      </c>
      <c r="E46" s="1" t="s">
        <v>117</v>
      </c>
      <c r="G46" s="1"/>
      <c r="J46" s="1" t="s">
        <v>41</v>
      </c>
    </row>
    <row r="47">
      <c r="A47" s="1" t="s">
        <v>1007</v>
      </c>
      <c r="B47" s="1">
        <v>12.0</v>
      </c>
      <c r="C47" s="1">
        <v>46.58</v>
      </c>
      <c r="D47" s="1" t="s">
        <v>96</v>
      </c>
      <c r="E47" s="1" t="s">
        <v>117</v>
      </c>
      <c r="G47" s="1"/>
      <c r="J47" s="1" t="s">
        <v>29</v>
      </c>
    </row>
    <row r="48">
      <c r="A48" s="1" t="s">
        <v>1008</v>
      </c>
      <c r="B48" s="1">
        <v>12.0</v>
      </c>
      <c r="C48" s="1">
        <v>8.46</v>
      </c>
      <c r="D48" s="1" t="s">
        <v>96</v>
      </c>
      <c r="E48" s="1" t="s">
        <v>117</v>
      </c>
      <c r="G48" s="1"/>
      <c r="J48" s="1" t="s">
        <v>35</v>
      </c>
    </row>
    <row r="49">
      <c r="A49" s="1" t="s">
        <v>39</v>
      </c>
      <c r="B49" s="1">
        <v>12.0</v>
      </c>
      <c r="C49" s="1">
        <v>5.0</v>
      </c>
      <c r="D49" s="1" t="s">
        <v>96</v>
      </c>
      <c r="E49" s="1" t="s">
        <v>117</v>
      </c>
      <c r="G49" s="1"/>
      <c r="J49" s="1" t="s">
        <v>154</v>
      </c>
    </row>
    <row r="50">
      <c r="A50" s="1" t="s">
        <v>1009</v>
      </c>
      <c r="B50" s="1">
        <v>12.0</v>
      </c>
      <c r="C50" s="1">
        <v>20.0</v>
      </c>
      <c r="D50" s="1" t="s">
        <v>96</v>
      </c>
      <c r="E50" s="1" t="s">
        <v>117</v>
      </c>
      <c r="G50" s="1"/>
      <c r="J50" s="1" t="s">
        <v>18</v>
      </c>
    </row>
    <row r="51">
      <c r="A51" s="1" t="s">
        <v>611</v>
      </c>
      <c r="B51" s="1">
        <v>11.0</v>
      </c>
      <c r="C51" s="1">
        <v>60.0</v>
      </c>
      <c r="D51" s="1" t="s">
        <v>96</v>
      </c>
      <c r="E51" s="1" t="s">
        <v>117</v>
      </c>
      <c r="G51" s="1"/>
      <c r="J51" s="1" t="s">
        <v>996</v>
      </c>
    </row>
    <row r="52">
      <c r="A52" s="1" t="s">
        <v>483</v>
      </c>
      <c r="B52" s="1">
        <v>9.0</v>
      </c>
      <c r="C52" s="1">
        <v>170.87</v>
      </c>
      <c r="D52" s="1" t="s">
        <v>96</v>
      </c>
      <c r="E52" s="1" t="s">
        <v>117</v>
      </c>
      <c r="G52" s="1"/>
      <c r="J52" s="1" t="s">
        <v>29</v>
      </c>
    </row>
    <row r="53">
      <c r="A53" s="1" t="s">
        <v>39</v>
      </c>
      <c r="B53" s="1">
        <v>8.0</v>
      </c>
      <c r="C53" s="1">
        <v>5.0</v>
      </c>
      <c r="D53" s="1" t="s">
        <v>96</v>
      </c>
      <c r="E53" s="1" t="s">
        <v>117</v>
      </c>
      <c r="G53" s="1"/>
      <c r="J53" s="1" t="s">
        <v>154</v>
      </c>
    </row>
    <row r="54">
      <c r="A54" s="1" t="s">
        <v>957</v>
      </c>
      <c r="B54" s="1">
        <v>7.0</v>
      </c>
      <c r="C54" s="1">
        <v>92.8</v>
      </c>
      <c r="D54" s="1" t="s">
        <v>96</v>
      </c>
      <c r="E54" s="1" t="s">
        <v>117</v>
      </c>
      <c r="G54" s="1"/>
      <c r="J54" s="1" t="s">
        <v>29</v>
      </c>
    </row>
    <row r="55">
      <c r="A55" s="1" t="s">
        <v>39</v>
      </c>
      <c r="B55" s="1">
        <v>6.0</v>
      </c>
      <c r="C55" s="1">
        <v>5.0</v>
      </c>
      <c r="D55" s="1" t="s">
        <v>96</v>
      </c>
      <c r="E55" s="1" t="s">
        <v>117</v>
      </c>
      <c r="G55" s="1"/>
      <c r="J55" s="1" t="s">
        <v>154</v>
      </c>
    </row>
    <row r="56">
      <c r="A56" s="1" t="s">
        <v>1005</v>
      </c>
      <c r="B56" s="1">
        <v>5.0</v>
      </c>
      <c r="C56" s="1">
        <v>54.86</v>
      </c>
      <c r="D56" s="1" t="s">
        <v>96</v>
      </c>
      <c r="E56" s="1" t="s">
        <v>117</v>
      </c>
      <c r="G56" s="1"/>
      <c r="J56" s="1" t="s">
        <v>18</v>
      </c>
    </row>
    <row r="57">
      <c r="A57" s="1" t="s">
        <v>1010</v>
      </c>
      <c r="B57" s="1">
        <v>17.0</v>
      </c>
      <c r="C57" s="1">
        <v>300.0</v>
      </c>
      <c r="D57" s="1" t="s">
        <v>96</v>
      </c>
      <c r="E57" s="1" t="s">
        <v>117</v>
      </c>
      <c r="G57" s="1"/>
      <c r="J57" s="1" t="s">
        <v>996</v>
      </c>
    </row>
    <row r="58">
      <c r="A58" s="1" t="s">
        <v>1011</v>
      </c>
      <c r="B58" s="1">
        <v>17.0</v>
      </c>
      <c r="C58" s="1">
        <v>5.0</v>
      </c>
      <c r="D58" s="1" t="s">
        <v>96</v>
      </c>
      <c r="E58" s="1" t="s">
        <v>117</v>
      </c>
      <c r="G58" s="1"/>
      <c r="J58" s="1" t="s">
        <v>996</v>
      </c>
    </row>
    <row r="59">
      <c r="A59" s="1" t="s">
        <v>271</v>
      </c>
      <c r="B59" s="1">
        <v>17.0</v>
      </c>
      <c r="C59" s="1">
        <v>35.99</v>
      </c>
      <c r="D59" s="1" t="s">
        <v>96</v>
      </c>
      <c r="E59" s="1" t="s">
        <v>117</v>
      </c>
      <c r="G59" s="1"/>
      <c r="J59" s="1" t="s">
        <v>29</v>
      </c>
    </row>
    <row r="60">
      <c r="A60" s="1" t="s">
        <v>165</v>
      </c>
      <c r="B60" s="1">
        <v>18.0</v>
      </c>
      <c r="C60" s="1">
        <v>361.0</v>
      </c>
      <c r="D60" s="1" t="s">
        <v>96</v>
      </c>
      <c r="E60" s="1" t="s">
        <v>117</v>
      </c>
      <c r="G60" s="1"/>
      <c r="J60" s="1" t="s">
        <v>29</v>
      </c>
    </row>
    <row r="61">
      <c r="A61" s="1" t="s">
        <v>809</v>
      </c>
      <c r="B61" s="1">
        <v>18.0</v>
      </c>
      <c r="C61" s="1">
        <v>53.26</v>
      </c>
      <c r="D61" s="1" t="s">
        <v>96</v>
      </c>
      <c r="E61" s="1" t="s">
        <v>117</v>
      </c>
      <c r="G61" s="1"/>
      <c r="J61" s="1" t="s">
        <v>18</v>
      </c>
    </row>
    <row r="62">
      <c r="A62" s="1" t="s">
        <v>1003</v>
      </c>
      <c r="B62" s="1">
        <v>18.0</v>
      </c>
      <c r="C62" s="1">
        <v>50.92</v>
      </c>
      <c r="D62" s="1" t="s">
        <v>96</v>
      </c>
      <c r="E62" s="1" t="s">
        <v>117</v>
      </c>
      <c r="G62" s="1"/>
      <c r="J62" s="1" t="s">
        <v>29</v>
      </c>
    </row>
    <row r="63">
      <c r="A63" s="1" t="s">
        <v>254</v>
      </c>
      <c r="B63" s="1">
        <v>18.0</v>
      </c>
      <c r="C63" s="1">
        <v>109.8</v>
      </c>
      <c r="D63" s="1" t="s">
        <v>96</v>
      </c>
      <c r="E63" s="1" t="s">
        <v>117</v>
      </c>
      <c r="G63" s="1"/>
      <c r="J63" s="1" t="s">
        <v>15</v>
      </c>
    </row>
    <row r="64">
      <c r="A64" s="1" t="s">
        <v>1012</v>
      </c>
      <c r="B64" s="1">
        <v>18.0</v>
      </c>
      <c r="C64" s="1">
        <v>66.0</v>
      </c>
      <c r="D64" s="1" t="s">
        <v>96</v>
      </c>
      <c r="E64" s="1" t="s">
        <v>117</v>
      </c>
      <c r="G64" s="1"/>
      <c r="J64" s="1" t="s">
        <v>25</v>
      </c>
    </row>
    <row r="65">
      <c r="A65" s="1" t="s">
        <v>1013</v>
      </c>
      <c r="B65" s="1">
        <v>19.0</v>
      </c>
      <c r="C65" s="1">
        <v>149.63</v>
      </c>
      <c r="D65" s="1" t="s">
        <v>96</v>
      </c>
      <c r="E65" s="1" t="s">
        <v>117</v>
      </c>
      <c r="G65" s="1"/>
      <c r="J65" s="1" t="s">
        <v>25</v>
      </c>
    </row>
    <row r="66">
      <c r="A66" s="1" t="s">
        <v>154</v>
      </c>
      <c r="B66" s="1">
        <v>20.0</v>
      </c>
      <c r="C66" s="37">
        <v>4.0</v>
      </c>
      <c r="D66" s="1" t="s">
        <v>96</v>
      </c>
      <c r="E66" s="1" t="s">
        <v>117</v>
      </c>
      <c r="G66" s="1"/>
      <c r="J66" s="1" t="s">
        <v>154</v>
      </c>
    </row>
    <row r="67">
      <c r="A67" s="1" t="s">
        <v>1014</v>
      </c>
      <c r="B67" s="1">
        <v>20.0</v>
      </c>
      <c r="C67" s="37">
        <v>129.0</v>
      </c>
      <c r="D67" s="1" t="s">
        <v>96</v>
      </c>
      <c r="E67" s="1" t="s">
        <v>117</v>
      </c>
      <c r="G67" s="1"/>
      <c r="J67" s="1" t="s">
        <v>15</v>
      </c>
    </row>
    <row r="68">
      <c r="A68" s="1" t="s">
        <v>1015</v>
      </c>
      <c r="B68" s="1">
        <v>20.0</v>
      </c>
      <c r="C68" s="37">
        <v>23.84</v>
      </c>
      <c r="D68" s="1" t="s">
        <v>96</v>
      </c>
      <c r="E68" s="1" t="s">
        <v>117</v>
      </c>
      <c r="G68" s="1"/>
      <c r="J68" s="1" t="s">
        <v>29</v>
      </c>
    </row>
    <row r="69">
      <c r="A69" s="1" t="s">
        <v>262</v>
      </c>
      <c r="B69" s="1">
        <v>20.0</v>
      </c>
      <c r="C69" s="37">
        <v>40.06</v>
      </c>
      <c r="D69" s="1" t="s">
        <v>96</v>
      </c>
      <c r="E69" s="1" t="s">
        <v>117</v>
      </c>
      <c r="G69" s="1"/>
      <c r="J69" s="1" t="s">
        <v>25</v>
      </c>
    </row>
    <row r="70">
      <c r="A70" s="1" t="s">
        <v>1016</v>
      </c>
      <c r="B70" s="1">
        <v>20.0</v>
      </c>
      <c r="C70" s="1">
        <v>62.73</v>
      </c>
      <c r="D70" s="1" t="s">
        <v>96</v>
      </c>
      <c r="E70" s="1" t="s">
        <v>117</v>
      </c>
      <c r="G70" s="1"/>
      <c r="J70" s="1" t="s">
        <v>29</v>
      </c>
    </row>
    <row r="71">
      <c r="A71" s="1" t="s">
        <v>1017</v>
      </c>
      <c r="B71" s="1">
        <v>20.0</v>
      </c>
      <c r="C71" s="1">
        <v>50.0</v>
      </c>
      <c r="D71" s="1" t="s">
        <v>96</v>
      </c>
      <c r="E71" s="1" t="s">
        <v>117</v>
      </c>
      <c r="G71" s="1"/>
      <c r="J71" s="1" t="s">
        <v>18</v>
      </c>
    </row>
    <row r="72">
      <c r="A72" s="1" t="s">
        <v>986</v>
      </c>
      <c r="B72" s="1">
        <v>21.0</v>
      </c>
      <c r="C72" s="1">
        <v>750.0</v>
      </c>
      <c r="D72" s="1" t="s">
        <v>96</v>
      </c>
      <c r="E72" s="1" t="s">
        <v>117</v>
      </c>
      <c r="J72" s="1" t="s">
        <v>998</v>
      </c>
    </row>
    <row r="73">
      <c r="A73" s="1" t="s">
        <v>39</v>
      </c>
      <c r="B73" s="1">
        <v>21.0</v>
      </c>
      <c r="C73" s="1">
        <v>4.0</v>
      </c>
      <c r="D73" s="1" t="s">
        <v>96</v>
      </c>
      <c r="E73" s="1" t="s">
        <v>117</v>
      </c>
      <c r="J73" s="1" t="s">
        <v>154</v>
      </c>
    </row>
    <row r="74">
      <c r="A74" s="1" t="s">
        <v>975</v>
      </c>
      <c r="B74" s="1">
        <v>22.0</v>
      </c>
      <c r="C74" s="1">
        <v>180.0</v>
      </c>
      <c r="D74" s="1" t="s">
        <v>96</v>
      </c>
      <c r="E74" s="1" t="s">
        <v>117</v>
      </c>
      <c r="J74" s="1" t="s">
        <v>1018</v>
      </c>
    </row>
    <row r="75">
      <c r="A75" s="1" t="s">
        <v>1019</v>
      </c>
      <c r="B75" s="1">
        <v>23.0</v>
      </c>
      <c r="C75" s="1">
        <v>145.0</v>
      </c>
      <c r="D75" s="1" t="s">
        <v>96</v>
      </c>
      <c r="E75" s="1" t="s">
        <v>117</v>
      </c>
      <c r="J75" s="1" t="s">
        <v>40</v>
      </c>
    </row>
    <row r="76">
      <c r="A76" s="1" t="s">
        <v>957</v>
      </c>
      <c r="B76" s="1">
        <v>23.0</v>
      </c>
      <c r="C76" s="1">
        <v>80.84</v>
      </c>
      <c r="D76" s="1" t="s">
        <v>96</v>
      </c>
      <c r="E76" s="1" t="s">
        <v>117</v>
      </c>
      <c r="J76" s="1" t="s">
        <v>29</v>
      </c>
    </row>
    <row r="77">
      <c r="A77" s="1" t="s">
        <v>1020</v>
      </c>
      <c r="B77" s="1">
        <v>24.0</v>
      </c>
      <c r="C77" s="1">
        <v>189.36</v>
      </c>
      <c r="D77" s="1" t="s">
        <v>96</v>
      </c>
      <c r="E77" s="1" t="s">
        <v>117</v>
      </c>
      <c r="J77" s="1" t="s">
        <v>29</v>
      </c>
    </row>
    <row r="78">
      <c r="A78" s="1" t="s">
        <v>957</v>
      </c>
      <c r="B78" s="1">
        <v>25.0</v>
      </c>
      <c r="C78" s="1">
        <v>136.99</v>
      </c>
      <c r="D78" s="1" t="s">
        <v>96</v>
      </c>
      <c r="E78" s="1" t="s">
        <v>117</v>
      </c>
      <c r="J78" s="1" t="s">
        <v>29</v>
      </c>
    </row>
    <row r="79">
      <c r="A79" s="1" t="s">
        <v>154</v>
      </c>
      <c r="B79" s="1">
        <v>26.0</v>
      </c>
      <c r="C79" s="1">
        <v>4.0</v>
      </c>
      <c r="D79" s="1" t="s">
        <v>96</v>
      </c>
      <c r="E79" s="1" t="s">
        <v>117</v>
      </c>
      <c r="J79" s="1" t="s">
        <v>154</v>
      </c>
    </row>
    <row r="80">
      <c r="A80" s="1" t="s">
        <v>903</v>
      </c>
      <c r="B80" s="1">
        <v>27.0</v>
      </c>
      <c r="C80" s="1">
        <v>11.0</v>
      </c>
      <c r="D80" s="1" t="s">
        <v>96</v>
      </c>
      <c r="E80" s="1" t="s">
        <v>117</v>
      </c>
      <c r="J80" s="1" t="s">
        <v>765</v>
      </c>
    </row>
    <row r="81">
      <c r="A81" s="1" t="s">
        <v>1017</v>
      </c>
      <c r="B81" s="1">
        <v>28.0</v>
      </c>
      <c r="C81" s="1">
        <v>20.0</v>
      </c>
      <c r="D81" s="1" t="s">
        <v>96</v>
      </c>
      <c r="E81" s="1" t="s">
        <v>117</v>
      </c>
      <c r="J81" s="1" t="s">
        <v>18</v>
      </c>
    </row>
    <row r="82">
      <c r="A82" s="1" t="s">
        <v>154</v>
      </c>
      <c r="B82" s="1">
        <v>29.0</v>
      </c>
      <c r="C82" s="1">
        <v>4.0</v>
      </c>
      <c r="D82" s="1" t="s">
        <v>96</v>
      </c>
      <c r="E82" s="1" t="s">
        <v>117</v>
      </c>
      <c r="J82" s="1" t="s">
        <v>154</v>
      </c>
    </row>
    <row r="83">
      <c r="A83" s="1" t="s">
        <v>1021</v>
      </c>
      <c r="B83" s="1">
        <v>29.0</v>
      </c>
      <c r="C83" s="1">
        <v>48.0</v>
      </c>
      <c r="D83" s="1" t="s">
        <v>96</v>
      </c>
      <c r="E83" s="1" t="s">
        <v>117</v>
      </c>
      <c r="J83" s="1" t="s">
        <v>1022</v>
      </c>
    </row>
    <row r="84">
      <c r="A84" s="1" t="s">
        <v>1023</v>
      </c>
      <c r="B84" s="1">
        <v>29.0</v>
      </c>
      <c r="C84" s="1">
        <v>16.0</v>
      </c>
      <c r="D84" s="1" t="s">
        <v>96</v>
      </c>
      <c r="E84" s="1" t="s">
        <v>117</v>
      </c>
      <c r="J84" s="1" t="s">
        <v>998</v>
      </c>
    </row>
    <row r="85">
      <c r="A85" s="1" t="s">
        <v>1024</v>
      </c>
      <c r="B85" s="1">
        <v>29.0</v>
      </c>
      <c r="C85" s="1">
        <v>5.99</v>
      </c>
      <c r="D85" s="1" t="s">
        <v>96</v>
      </c>
      <c r="E85" s="1" t="s">
        <v>117</v>
      </c>
      <c r="J85" s="1" t="s">
        <v>29</v>
      </c>
    </row>
    <row r="86">
      <c r="A86" s="1" t="s">
        <v>1005</v>
      </c>
      <c r="B86" s="1">
        <v>29.0</v>
      </c>
      <c r="C86" s="1">
        <v>60.56</v>
      </c>
      <c r="D86" s="1" t="s">
        <v>96</v>
      </c>
      <c r="E86" s="1" t="s">
        <v>117</v>
      </c>
      <c r="J86" s="1" t="s">
        <v>18</v>
      </c>
    </row>
    <row r="87">
      <c r="A87" s="1" t="s">
        <v>1025</v>
      </c>
      <c r="B87" s="1">
        <v>30.0</v>
      </c>
      <c r="C87" s="1">
        <v>359.91</v>
      </c>
      <c r="D87" s="1" t="s">
        <v>96</v>
      </c>
      <c r="E87" s="1" t="s">
        <v>117</v>
      </c>
      <c r="J87" s="1" t="s">
        <v>1026</v>
      </c>
    </row>
    <row r="88">
      <c r="A88" s="1" t="s">
        <v>1027</v>
      </c>
      <c r="B88" s="1">
        <v>30.0</v>
      </c>
      <c r="C88" s="1">
        <v>91.7</v>
      </c>
      <c r="D88" s="1" t="s">
        <v>96</v>
      </c>
      <c r="E88" s="1" t="s">
        <v>117</v>
      </c>
      <c r="J88" s="1" t="s">
        <v>996</v>
      </c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 t="s">
        <v>236</v>
      </c>
      <c r="C104" s="14">
        <f>8892.02*0.3-(633.9)</f>
        <v>2033.706</v>
      </c>
    </row>
    <row r="105">
      <c r="A105" s="1" t="s">
        <v>50</v>
      </c>
      <c r="C105" s="8">
        <f>SUM(C2:C103)</f>
        <v>8876.3273</v>
      </c>
      <c r="D105" s="8">
        <f>8892.02-C105-C104</f>
        <v>-2018.0133</v>
      </c>
    </row>
    <row r="107"/>
    <row r="108"/>
    <row r="109"/>
    <row r="110"/>
    <row r="111"/>
    <row r="112"/>
    <row r="113"/>
    <row r="114"/>
    <row r="116"/>
    <row r="117"/>
    <row r="118"/>
    <row r="119"/>
    <row r="120"/>
    <row r="121"/>
    <row r="122"/>
    <row r="126"/>
    <row r="127"/>
    <row r="128"/>
    <row r="129"/>
    <row r="130"/>
    <row r="131"/>
    <row r="132">
      <c r="M132" s="1" t="s">
        <v>240</v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</sheetData>
  <autoFilter ref="$A$1:$BV$23"/>
  <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</row>
    <row r="2">
      <c r="A2" s="1" t="s">
        <v>95</v>
      </c>
      <c r="B2" s="1">
        <v>5.0</v>
      </c>
      <c r="C2" s="37">
        <v>660.0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</row>
    <row r="3">
      <c r="A3" s="1" t="s">
        <v>102</v>
      </c>
      <c r="B3" s="1">
        <v>7.0</v>
      </c>
      <c r="C3" s="52">
        <f>(3375.75)-(3375.75*0.7636)</f>
        <v>798.0273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</row>
    <row r="5">
      <c r="A5" s="1" t="s">
        <v>106</v>
      </c>
      <c r="B5" s="1">
        <v>14.0</v>
      </c>
      <c r="C5" s="37">
        <v>550.0</v>
      </c>
      <c r="D5" s="1" t="s">
        <v>112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</row>
    <row r="6">
      <c r="A6" s="1" t="s">
        <v>111</v>
      </c>
      <c r="B6" s="1">
        <v>11.0</v>
      </c>
      <c r="C6" s="37">
        <v>99.0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</row>
    <row r="7">
      <c r="A7" s="1" t="s">
        <v>610</v>
      </c>
      <c r="B7" s="1">
        <v>20.0</v>
      </c>
      <c r="C7" s="37">
        <v>88.0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</row>
    <row r="8">
      <c r="A8" s="1" t="s">
        <v>116</v>
      </c>
      <c r="B8" s="1">
        <v>30.0</v>
      </c>
      <c r="C8" s="37">
        <v>13.95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</row>
    <row r="9">
      <c r="A9" s="1" t="s">
        <v>119</v>
      </c>
      <c r="B9" s="1"/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</row>
    <row r="11">
      <c r="A11" s="1" t="s">
        <v>122</v>
      </c>
      <c r="B11" s="1">
        <v>2.0</v>
      </c>
      <c r="C11" s="37">
        <v>9.9</v>
      </c>
      <c r="D11" s="1" t="s">
        <v>112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</row>
    <row r="12">
      <c r="A12" s="1" t="s">
        <v>123</v>
      </c>
      <c r="B12" s="1">
        <v>15.0</v>
      </c>
      <c r="C12" s="37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</row>
    <row r="13">
      <c r="A13" s="1" t="s">
        <v>124</v>
      </c>
      <c r="B13" s="1">
        <v>8.0</v>
      </c>
      <c r="C13" s="37">
        <v>39.9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</row>
    <row r="15">
      <c r="A15" s="1" t="s">
        <v>126</v>
      </c>
      <c r="B15" s="1">
        <v>27.0</v>
      </c>
      <c r="C15" s="37">
        <v>206.99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</row>
    <row r="16">
      <c r="A16" s="1" t="s">
        <v>128</v>
      </c>
      <c r="B16" s="1">
        <v>2.0</v>
      </c>
      <c r="C16" s="37">
        <v>37.9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>
        <v>45272.0</v>
      </c>
      <c r="L16" s="1" t="s">
        <v>101</v>
      </c>
    </row>
    <row r="17">
      <c r="A17" s="1" t="s">
        <v>130</v>
      </c>
      <c r="B17" s="1">
        <v>27.0</v>
      </c>
      <c r="C17" s="37">
        <v>109.0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</row>
    <row r="18">
      <c r="A18" s="1" t="s">
        <v>372</v>
      </c>
      <c r="B18" s="1">
        <v>10.0</v>
      </c>
      <c r="C18" s="37">
        <v>0.0</v>
      </c>
      <c r="D18" s="37">
        <v>0.0</v>
      </c>
      <c r="E18" s="1" t="s">
        <v>105</v>
      </c>
      <c r="F18" s="1" t="s">
        <v>115</v>
      </c>
      <c r="G18" s="1" t="s">
        <v>98</v>
      </c>
      <c r="J18" s="1" t="s">
        <v>15</v>
      </c>
    </row>
    <row r="19">
      <c r="A19" s="1" t="s">
        <v>895</v>
      </c>
      <c r="B19" s="1">
        <v>10.0</v>
      </c>
      <c r="C19" s="37">
        <v>0.0</v>
      </c>
      <c r="D19" s="37">
        <v>250.0</v>
      </c>
      <c r="E19" s="1" t="s">
        <v>105</v>
      </c>
      <c r="F19" s="1" t="s">
        <v>107</v>
      </c>
      <c r="G19" s="1" t="s">
        <v>98</v>
      </c>
      <c r="H19" s="1" t="s">
        <v>109</v>
      </c>
      <c r="I19" s="1" t="s">
        <v>100</v>
      </c>
      <c r="J19" s="1" t="s">
        <v>28</v>
      </c>
    </row>
    <row r="20">
      <c r="A20" s="1" t="s">
        <v>625</v>
      </c>
      <c r="C20" s="37">
        <v>0.0</v>
      </c>
      <c r="D20" s="1" t="s">
        <v>1028</v>
      </c>
      <c r="J20" s="1" t="s">
        <v>995</v>
      </c>
    </row>
    <row r="21">
      <c r="A21" s="1" t="s">
        <v>914</v>
      </c>
      <c r="C21" s="37">
        <v>459.0</v>
      </c>
      <c r="D21" s="37">
        <v>274.0</v>
      </c>
      <c r="J21" s="1" t="s">
        <v>42</v>
      </c>
    </row>
    <row r="22">
      <c r="A22" s="1" t="s">
        <v>915</v>
      </c>
      <c r="C22" s="37">
        <v>205.0</v>
      </c>
      <c r="D22" s="1" t="s">
        <v>96</v>
      </c>
      <c r="E22" s="1" t="s">
        <v>132</v>
      </c>
      <c r="F22" s="1" t="s">
        <v>916</v>
      </c>
      <c r="G22" s="1" t="s">
        <v>98</v>
      </c>
      <c r="J22" s="1" t="s">
        <v>28</v>
      </c>
    </row>
    <row r="23">
      <c r="A23" s="1" t="s">
        <v>917</v>
      </c>
      <c r="B23" s="1"/>
      <c r="C23" s="37">
        <f>400+400</f>
        <v>800</v>
      </c>
      <c r="D23" s="1" t="s">
        <v>96</v>
      </c>
      <c r="E23" s="1" t="s">
        <v>132</v>
      </c>
      <c r="G23" s="1" t="s">
        <v>98</v>
      </c>
      <c r="J23" s="1" t="s">
        <v>42</v>
      </c>
    </row>
    <row r="24">
      <c r="A24" s="1" t="s">
        <v>154</v>
      </c>
      <c r="B24" s="1">
        <v>3.0</v>
      </c>
      <c r="C24" s="1">
        <v>4.0</v>
      </c>
      <c r="D24" s="1" t="s">
        <v>96</v>
      </c>
      <c r="E24" s="1" t="s">
        <v>117</v>
      </c>
      <c r="G24" s="1"/>
      <c r="J24" s="1" t="s">
        <v>29</v>
      </c>
    </row>
    <row r="25">
      <c r="A25" s="1" t="s">
        <v>467</v>
      </c>
      <c r="B25" s="1">
        <v>3.0</v>
      </c>
      <c r="C25" s="1">
        <v>41.79</v>
      </c>
      <c r="D25" s="1" t="s">
        <v>96</v>
      </c>
      <c r="E25" s="1" t="s">
        <v>117</v>
      </c>
      <c r="G25" s="1"/>
      <c r="J25" s="1" t="s">
        <v>612</v>
      </c>
    </row>
    <row r="26">
      <c r="A26" s="1" t="s">
        <v>621</v>
      </c>
      <c r="B26" s="1">
        <v>4.0</v>
      </c>
      <c r="C26" s="1">
        <v>28.9</v>
      </c>
      <c r="D26" s="1" t="s">
        <v>96</v>
      </c>
      <c r="E26" s="1" t="s">
        <v>117</v>
      </c>
      <c r="G26" s="1"/>
      <c r="J26" s="1" t="s">
        <v>996</v>
      </c>
    </row>
    <row r="27">
      <c r="A27" s="1" t="s">
        <v>1029</v>
      </c>
      <c r="B27" s="1">
        <v>5.0</v>
      </c>
      <c r="C27" s="1">
        <v>41.88</v>
      </c>
      <c r="D27" s="1" t="s">
        <v>96</v>
      </c>
      <c r="E27" s="1" t="s">
        <v>117</v>
      </c>
      <c r="G27" s="1"/>
      <c r="J27" s="1" t="s">
        <v>1026</v>
      </c>
    </row>
    <row r="28">
      <c r="A28" s="1" t="s">
        <v>934</v>
      </c>
      <c r="B28" s="1">
        <v>5.0</v>
      </c>
      <c r="C28" s="1">
        <v>91.83</v>
      </c>
      <c r="D28" s="1" t="s">
        <v>96</v>
      </c>
      <c r="E28" s="1" t="s">
        <v>117</v>
      </c>
      <c r="G28" s="1"/>
      <c r="J28" s="1" t="s">
        <v>1002</v>
      </c>
    </row>
    <row r="29">
      <c r="A29" s="1" t="s">
        <v>1029</v>
      </c>
      <c r="B29" s="1">
        <v>5.0</v>
      </c>
      <c r="C29" s="1">
        <v>4.96</v>
      </c>
      <c r="D29" s="1" t="s">
        <v>96</v>
      </c>
      <c r="E29" s="1" t="s">
        <v>117</v>
      </c>
      <c r="J29" s="1" t="s">
        <v>1026</v>
      </c>
    </row>
    <row r="30">
      <c r="A30" s="1" t="s">
        <v>484</v>
      </c>
      <c r="B30" s="1">
        <v>6.0</v>
      </c>
      <c r="C30" s="1">
        <v>26.05</v>
      </c>
      <c r="D30" s="1" t="s">
        <v>96</v>
      </c>
      <c r="E30" s="1" t="s">
        <v>117</v>
      </c>
      <c r="G30" s="1"/>
      <c r="J30" s="1" t="s">
        <v>29</v>
      </c>
    </row>
    <row r="31">
      <c r="A31" s="1" t="s">
        <v>36</v>
      </c>
      <c r="B31" s="1">
        <v>10.0</v>
      </c>
      <c r="C31" s="1">
        <v>12.96</v>
      </c>
      <c r="D31" s="1" t="s">
        <v>96</v>
      </c>
      <c r="E31" s="1" t="s">
        <v>117</v>
      </c>
      <c r="G31" s="1"/>
      <c r="J31" s="1" t="s">
        <v>127</v>
      </c>
    </row>
    <row r="32">
      <c r="A32" s="1" t="s">
        <v>1030</v>
      </c>
      <c r="B32" s="1">
        <v>11.0</v>
      </c>
      <c r="C32" s="1">
        <v>17.32</v>
      </c>
      <c r="D32" s="1" t="s">
        <v>96</v>
      </c>
      <c r="E32" s="1" t="s">
        <v>117</v>
      </c>
      <c r="G32" s="1"/>
      <c r="J32" s="1" t="s">
        <v>15</v>
      </c>
    </row>
    <row r="33">
      <c r="A33" s="1" t="s">
        <v>1031</v>
      </c>
      <c r="B33" s="1">
        <v>14.0</v>
      </c>
      <c r="C33" s="1">
        <v>62.24</v>
      </c>
      <c r="D33" s="1" t="s">
        <v>96</v>
      </c>
      <c r="E33" s="1" t="s">
        <v>117</v>
      </c>
      <c r="G33" s="1"/>
      <c r="J33" s="1" t="s">
        <v>996</v>
      </c>
    </row>
    <row r="34">
      <c r="A34" s="1" t="s">
        <v>1032</v>
      </c>
      <c r="B34" s="1">
        <v>14.0</v>
      </c>
      <c r="C34" s="1">
        <v>62.24</v>
      </c>
      <c r="D34" s="1" t="s">
        <v>96</v>
      </c>
      <c r="E34" s="1" t="s">
        <v>117</v>
      </c>
      <c r="G34" s="1"/>
      <c r="J34" s="1" t="s">
        <v>1033</v>
      </c>
    </row>
    <row r="35">
      <c r="A35" s="1" t="s">
        <v>36</v>
      </c>
      <c r="B35" s="1">
        <v>14.0</v>
      </c>
      <c r="C35" s="1">
        <v>19.94</v>
      </c>
      <c r="D35" s="1" t="s">
        <v>96</v>
      </c>
      <c r="E35" s="1" t="s">
        <v>117</v>
      </c>
      <c r="G35" s="1"/>
      <c r="J35" s="1" t="s">
        <v>127</v>
      </c>
    </row>
    <row r="36">
      <c r="A36" s="1" t="s">
        <v>1034</v>
      </c>
      <c r="B36" s="1">
        <v>15.0</v>
      </c>
      <c r="C36" s="1">
        <v>53.07</v>
      </c>
      <c r="D36" s="1" t="s">
        <v>96</v>
      </c>
      <c r="E36" s="1" t="s">
        <v>117</v>
      </c>
      <c r="G36" s="1"/>
      <c r="J36" s="1" t="s">
        <v>18</v>
      </c>
    </row>
    <row r="37">
      <c r="A37" s="1" t="s">
        <v>1035</v>
      </c>
      <c r="B37" s="1">
        <v>15.0</v>
      </c>
      <c r="C37" s="1">
        <v>18.2</v>
      </c>
      <c r="D37" s="1" t="s">
        <v>96</v>
      </c>
      <c r="E37" s="1" t="s">
        <v>117</v>
      </c>
      <c r="G37" s="1"/>
      <c r="J37" s="1" t="s">
        <v>15</v>
      </c>
    </row>
    <row r="38">
      <c r="A38" s="1" t="s">
        <v>1036</v>
      </c>
      <c r="B38" s="1">
        <v>16.0</v>
      </c>
      <c r="C38" s="1">
        <v>32.0</v>
      </c>
      <c r="D38" s="1" t="s">
        <v>96</v>
      </c>
      <c r="E38" s="1" t="s">
        <v>117</v>
      </c>
      <c r="G38" s="1"/>
      <c r="J38" s="1" t="s">
        <v>898</v>
      </c>
    </row>
    <row r="39">
      <c r="A39" s="1" t="s">
        <v>1037</v>
      </c>
      <c r="B39" s="1">
        <v>16.0</v>
      </c>
      <c r="C39" s="1">
        <v>4.0</v>
      </c>
      <c r="D39" s="1" t="s">
        <v>96</v>
      </c>
      <c r="E39" s="1" t="s">
        <v>117</v>
      </c>
      <c r="G39" s="1"/>
      <c r="J39" s="1" t="s">
        <v>29</v>
      </c>
    </row>
    <row r="40">
      <c r="A40" s="1" t="s">
        <v>1038</v>
      </c>
      <c r="B40" s="1">
        <v>16.0</v>
      </c>
      <c r="C40" s="1">
        <v>774.63</v>
      </c>
      <c r="D40" s="1" t="s">
        <v>96</v>
      </c>
      <c r="E40" s="1" t="s">
        <v>117</v>
      </c>
      <c r="G40" s="1"/>
      <c r="J40" s="1" t="s">
        <v>998</v>
      </c>
    </row>
    <row r="41">
      <c r="A41" s="1" t="s">
        <v>1039</v>
      </c>
      <c r="B41" s="1">
        <v>17.0</v>
      </c>
      <c r="C41" s="1">
        <v>30.0</v>
      </c>
      <c r="D41" s="1" t="s">
        <v>96</v>
      </c>
      <c r="E41" s="1" t="s">
        <v>117</v>
      </c>
      <c r="G41" s="1"/>
      <c r="J41" s="1" t="s">
        <v>18</v>
      </c>
    </row>
    <row r="42">
      <c r="A42" s="1" t="s">
        <v>1040</v>
      </c>
      <c r="B42" s="1">
        <v>17.0</v>
      </c>
      <c r="C42" s="1">
        <v>32.94</v>
      </c>
      <c r="D42" s="1" t="s">
        <v>96</v>
      </c>
      <c r="E42" s="1" t="s">
        <v>117</v>
      </c>
      <c r="G42" s="1"/>
      <c r="J42" s="1" t="s">
        <v>35</v>
      </c>
    </row>
    <row r="43">
      <c r="A43" s="1" t="s">
        <v>39</v>
      </c>
      <c r="B43" s="1">
        <v>18.0</v>
      </c>
      <c r="C43" s="1">
        <v>4.0</v>
      </c>
      <c r="D43" s="1" t="s">
        <v>96</v>
      </c>
      <c r="E43" s="1" t="s">
        <v>117</v>
      </c>
      <c r="G43" s="1"/>
      <c r="J43" s="1" t="s">
        <v>29</v>
      </c>
    </row>
    <row r="44">
      <c r="A44" s="1" t="s">
        <v>952</v>
      </c>
      <c r="B44" s="1">
        <v>20.0</v>
      </c>
      <c r="C44" s="1">
        <v>134.8</v>
      </c>
      <c r="D44" s="1" t="s">
        <v>96</v>
      </c>
      <c r="E44" s="1" t="s">
        <v>117</v>
      </c>
      <c r="G44" s="1"/>
      <c r="J44" s="1" t="s">
        <v>29</v>
      </c>
    </row>
    <row r="45">
      <c r="A45" s="1" t="s">
        <v>645</v>
      </c>
      <c r="B45" s="1">
        <v>20.0</v>
      </c>
      <c r="C45" s="1">
        <v>46.98</v>
      </c>
      <c r="D45" s="1" t="s">
        <v>96</v>
      </c>
      <c r="E45" s="1" t="s">
        <v>117</v>
      </c>
      <c r="G45" s="1"/>
      <c r="J45" s="1" t="s">
        <v>18</v>
      </c>
    </row>
    <row r="46">
      <c r="A46" s="1" t="s">
        <v>136</v>
      </c>
      <c r="B46" s="1">
        <v>20.0</v>
      </c>
      <c r="C46" s="1">
        <v>74.94</v>
      </c>
      <c r="D46" s="1" t="s">
        <v>96</v>
      </c>
      <c r="E46" s="1" t="s">
        <v>117</v>
      </c>
      <c r="G46" s="1"/>
      <c r="J46" s="1" t="s">
        <v>29</v>
      </c>
    </row>
    <row r="47">
      <c r="A47" s="1" t="s">
        <v>618</v>
      </c>
      <c r="B47" s="1">
        <v>20.0</v>
      </c>
      <c r="C47" s="1">
        <v>6.6</v>
      </c>
      <c r="D47" s="1" t="s">
        <v>96</v>
      </c>
      <c r="E47" s="1" t="s">
        <v>117</v>
      </c>
      <c r="G47" s="1"/>
      <c r="J47" s="1" t="s">
        <v>898</v>
      </c>
    </row>
    <row r="48">
      <c r="A48" s="1" t="s">
        <v>560</v>
      </c>
      <c r="B48" s="1">
        <v>21.0</v>
      </c>
      <c r="C48" s="1">
        <v>30.0</v>
      </c>
      <c r="D48" s="1" t="s">
        <v>96</v>
      </c>
      <c r="E48" s="1" t="s">
        <v>117</v>
      </c>
      <c r="G48" s="1"/>
      <c r="J48" s="1" t="s">
        <v>996</v>
      </c>
    </row>
    <row r="49">
      <c r="A49" s="1" t="s">
        <v>1041</v>
      </c>
      <c r="B49" s="1">
        <v>21.0</v>
      </c>
      <c r="C49" s="1">
        <v>127.7</v>
      </c>
      <c r="D49" s="1" t="s">
        <v>96</v>
      </c>
      <c r="E49" s="1" t="s">
        <v>117</v>
      </c>
      <c r="G49" s="1"/>
      <c r="J49" s="1" t="s">
        <v>996</v>
      </c>
    </row>
    <row r="50">
      <c r="A50" s="1" t="s">
        <v>1042</v>
      </c>
      <c r="B50" s="1">
        <v>21.0</v>
      </c>
      <c r="C50" s="1">
        <v>27.8</v>
      </c>
      <c r="D50" s="1" t="s">
        <v>96</v>
      </c>
      <c r="E50" s="1" t="s">
        <v>117</v>
      </c>
      <c r="G50" s="1"/>
      <c r="J50" s="1" t="s">
        <v>996</v>
      </c>
    </row>
    <row r="51">
      <c r="A51" s="1" t="s">
        <v>161</v>
      </c>
      <c r="B51" s="1">
        <v>21.0</v>
      </c>
      <c r="C51" s="1">
        <v>373.01</v>
      </c>
      <c r="D51" s="1" t="s">
        <v>96</v>
      </c>
      <c r="E51" s="1" t="s">
        <v>117</v>
      </c>
      <c r="G51" s="1"/>
      <c r="J51" s="1" t="s">
        <v>29</v>
      </c>
    </row>
    <row r="52">
      <c r="A52" s="1" t="s">
        <v>1043</v>
      </c>
      <c r="B52" s="1">
        <v>19.0</v>
      </c>
      <c r="C52" s="1">
        <v>100.0</v>
      </c>
      <c r="D52" s="1" t="s">
        <v>96</v>
      </c>
      <c r="E52" s="1" t="s">
        <v>117</v>
      </c>
      <c r="G52" s="1"/>
      <c r="J52" s="1" t="s">
        <v>107</v>
      </c>
    </row>
    <row r="53">
      <c r="A53" s="1" t="s">
        <v>516</v>
      </c>
      <c r="B53" s="1">
        <v>21.0</v>
      </c>
      <c r="C53" s="1">
        <v>15.47</v>
      </c>
      <c r="D53" s="1" t="s">
        <v>96</v>
      </c>
      <c r="E53" s="1" t="s">
        <v>117</v>
      </c>
      <c r="G53" s="1"/>
      <c r="J53" s="1" t="s">
        <v>1002</v>
      </c>
    </row>
    <row r="54">
      <c r="A54" s="1" t="s">
        <v>1044</v>
      </c>
      <c r="B54" s="1">
        <v>21.0</v>
      </c>
      <c r="C54" s="1">
        <v>61.32</v>
      </c>
      <c r="D54" s="1" t="s">
        <v>96</v>
      </c>
      <c r="E54" s="1" t="s">
        <v>117</v>
      </c>
      <c r="G54" s="1"/>
      <c r="J54" s="1" t="s">
        <v>1002</v>
      </c>
    </row>
    <row r="55">
      <c r="A55" s="1" t="s">
        <v>1045</v>
      </c>
      <c r="B55" s="1">
        <v>17.0</v>
      </c>
      <c r="C55" s="1">
        <v>203.9</v>
      </c>
      <c r="D55" s="1" t="s">
        <v>96</v>
      </c>
      <c r="E55" s="1" t="s">
        <v>105</v>
      </c>
      <c r="G55" s="1"/>
      <c r="J55" s="1" t="s">
        <v>1033</v>
      </c>
    </row>
    <row r="56">
      <c r="A56" s="1" t="s">
        <v>1046</v>
      </c>
      <c r="B56" s="1">
        <v>13.0</v>
      </c>
      <c r="C56" s="1">
        <v>82.7</v>
      </c>
      <c r="D56" s="1" t="s">
        <v>96</v>
      </c>
      <c r="E56" s="1" t="s">
        <v>105</v>
      </c>
      <c r="G56" s="1"/>
      <c r="J56" s="1" t="s">
        <v>15</v>
      </c>
    </row>
    <row r="57">
      <c r="A57" s="1" t="s">
        <v>136</v>
      </c>
      <c r="B57" s="1">
        <v>13.0</v>
      </c>
      <c r="C57" s="1">
        <v>132.05</v>
      </c>
      <c r="D57" s="1" t="s">
        <v>96</v>
      </c>
      <c r="E57" s="1" t="s">
        <v>105</v>
      </c>
      <c r="G57" s="1"/>
      <c r="J57" s="1" t="s">
        <v>29</v>
      </c>
    </row>
    <row r="58">
      <c r="A58" s="1" t="s">
        <v>1047</v>
      </c>
      <c r="B58" s="1">
        <v>13.0</v>
      </c>
      <c r="C58" s="1">
        <v>140.0</v>
      </c>
      <c r="D58" s="1" t="s">
        <v>96</v>
      </c>
      <c r="E58" s="1" t="s">
        <v>105</v>
      </c>
      <c r="G58" s="1"/>
      <c r="J58" s="1" t="s">
        <v>15</v>
      </c>
    </row>
    <row r="59">
      <c r="A59" s="1" t="s">
        <v>483</v>
      </c>
      <c r="B59" s="1">
        <v>12.0</v>
      </c>
      <c r="C59" s="1">
        <v>268.21</v>
      </c>
      <c r="D59" s="1" t="s">
        <v>96</v>
      </c>
      <c r="E59" s="1" t="s">
        <v>105</v>
      </c>
      <c r="G59" s="1"/>
      <c r="J59" s="1" t="s">
        <v>29</v>
      </c>
    </row>
    <row r="60">
      <c r="A60" s="1" t="s">
        <v>467</v>
      </c>
      <c r="B60" s="1">
        <v>8.0</v>
      </c>
      <c r="C60" s="1">
        <v>30.0</v>
      </c>
      <c r="D60" s="1" t="s">
        <v>96</v>
      </c>
      <c r="E60" s="1" t="s">
        <v>105</v>
      </c>
      <c r="G60" s="1"/>
      <c r="J60" s="1" t="s">
        <v>18</v>
      </c>
    </row>
    <row r="61">
      <c r="A61" s="1" t="s">
        <v>1048</v>
      </c>
      <c r="B61" s="1">
        <v>8.0</v>
      </c>
      <c r="C61" s="1">
        <v>56.0</v>
      </c>
      <c r="D61" s="1" t="s">
        <v>96</v>
      </c>
      <c r="E61" s="1" t="s">
        <v>105</v>
      </c>
      <c r="G61" s="1"/>
      <c r="J61" s="1" t="s">
        <v>42</v>
      </c>
    </row>
    <row r="62">
      <c r="A62" s="1" t="s">
        <v>161</v>
      </c>
      <c r="B62" s="1">
        <v>7.0</v>
      </c>
      <c r="C62" s="1">
        <v>361.14</v>
      </c>
      <c r="D62" s="1" t="s">
        <v>96</v>
      </c>
      <c r="E62" s="1" t="s">
        <v>105</v>
      </c>
      <c r="G62" s="1"/>
      <c r="J62" s="1" t="s">
        <v>29</v>
      </c>
    </row>
    <row r="63">
      <c r="A63" s="1" t="s">
        <v>1049</v>
      </c>
      <c r="B63" s="1">
        <v>7.0</v>
      </c>
      <c r="C63" s="1">
        <v>32.3</v>
      </c>
      <c r="D63" s="1" t="s">
        <v>96</v>
      </c>
      <c r="E63" s="1" t="s">
        <v>105</v>
      </c>
      <c r="G63" s="1"/>
      <c r="J63" s="1" t="s">
        <v>996</v>
      </c>
    </row>
    <row r="64">
      <c r="A64" s="1" t="s">
        <v>1050</v>
      </c>
      <c r="B64" s="1">
        <v>7.0</v>
      </c>
      <c r="C64" s="1">
        <v>21.5</v>
      </c>
      <c r="D64" s="1" t="s">
        <v>96</v>
      </c>
      <c r="E64" s="1" t="s">
        <v>105</v>
      </c>
      <c r="G64" s="1"/>
      <c r="J64" s="1" t="s">
        <v>996</v>
      </c>
    </row>
    <row r="65">
      <c r="A65" s="1" t="s">
        <v>1051</v>
      </c>
      <c r="B65" s="1">
        <v>7.0</v>
      </c>
      <c r="C65" s="1">
        <v>41.1</v>
      </c>
      <c r="D65" s="1" t="s">
        <v>96</v>
      </c>
      <c r="E65" s="1" t="s">
        <v>105</v>
      </c>
      <c r="G65" s="1"/>
      <c r="J65" s="1" t="s">
        <v>996</v>
      </c>
    </row>
    <row r="66">
      <c r="A66" s="1" t="s">
        <v>1048</v>
      </c>
      <c r="B66" s="1">
        <v>6.0</v>
      </c>
      <c r="C66" s="1">
        <v>782.0</v>
      </c>
      <c r="D66" s="1" t="s">
        <v>96</v>
      </c>
      <c r="E66" s="1" t="s">
        <v>105</v>
      </c>
      <c r="G66" s="1"/>
      <c r="J66" s="1" t="s">
        <v>42</v>
      </c>
    </row>
    <row r="67">
      <c r="A67" s="1" t="s">
        <v>144</v>
      </c>
      <c r="B67" s="1">
        <v>5.0</v>
      </c>
      <c r="C67" s="1">
        <v>180.0</v>
      </c>
      <c r="D67" s="1" t="s">
        <v>96</v>
      </c>
      <c r="E67" s="1" t="s">
        <v>105</v>
      </c>
      <c r="G67" s="1"/>
      <c r="J67" s="1" t="s">
        <v>998</v>
      </c>
    </row>
    <row r="68">
      <c r="A68" s="1" t="s">
        <v>144</v>
      </c>
      <c r="B68" s="1">
        <v>5.0</v>
      </c>
      <c r="C68" s="1">
        <v>320.0</v>
      </c>
      <c r="D68" s="1" t="s">
        <v>96</v>
      </c>
      <c r="E68" s="1" t="s">
        <v>105</v>
      </c>
      <c r="G68" s="1"/>
      <c r="J68" s="1" t="s">
        <v>998</v>
      </c>
    </row>
    <row r="69">
      <c r="A69" s="1"/>
      <c r="B69" s="1"/>
      <c r="C69" s="37"/>
      <c r="E69" s="1"/>
      <c r="G69" s="1"/>
      <c r="J69" s="1"/>
    </row>
    <row r="70">
      <c r="A70" s="1"/>
      <c r="B70" s="1"/>
      <c r="C70" s="37"/>
      <c r="E70" s="1"/>
      <c r="G70" s="1"/>
      <c r="J70" s="1"/>
    </row>
    <row r="72">
      <c r="A72" s="1" t="s">
        <v>236</v>
      </c>
      <c r="C72" s="14">
        <f>8892.02*0.3-(633.9)</f>
        <v>2033.706</v>
      </c>
    </row>
    <row r="73">
      <c r="A73" s="1" t="s">
        <v>50</v>
      </c>
      <c r="C73" s="8">
        <f>SUM(C2:C71)</f>
        <v>9208.8373</v>
      </c>
      <c r="D73" s="8">
        <f>8892.02-C73-C72</f>
        <v>-2350.5233</v>
      </c>
    </row>
    <row r="75"/>
    <row r="76"/>
    <row r="77"/>
    <row r="78"/>
    <row r="79"/>
    <row r="80"/>
    <row r="81"/>
    <row r="82"/>
    <row r="84"/>
    <row r="85"/>
    <row r="86"/>
    <row r="87"/>
    <row r="88"/>
    <row r="89"/>
    <row r="90"/>
    <row r="94"/>
    <row r="95"/>
    <row r="96"/>
    <row r="97"/>
    <row r="98"/>
    <row r="99"/>
    <row r="100">
      <c r="M100" s="1" t="s">
        <v>240</v>
      </c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autoFilter ref="$A$1:$BV$23"/>
  <drawing r:id="rId4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14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</row>
    <row r="2">
      <c r="A2" s="1" t="s">
        <v>95</v>
      </c>
      <c r="B2" s="1">
        <v>5.0</v>
      </c>
      <c r="C2" s="37">
        <v>660.0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</row>
    <row r="3">
      <c r="A3" s="1" t="s">
        <v>102</v>
      </c>
      <c r="B3" s="1">
        <v>7.0</v>
      </c>
      <c r="C3" s="39">
        <v>228.0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</row>
    <row r="4">
      <c r="A4" s="1" t="s">
        <v>609</v>
      </c>
      <c r="B4" s="1">
        <v>26.0</v>
      </c>
      <c r="C4" s="37">
        <v>0.0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</row>
    <row r="5">
      <c r="A5" s="1" t="s">
        <v>106</v>
      </c>
      <c r="B5" s="1">
        <v>10.0</v>
      </c>
      <c r="C5" s="37">
        <v>557.53</v>
      </c>
      <c r="D5" s="1" t="s">
        <v>96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</row>
    <row r="6">
      <c r="A6" s="1" t="s">
        <v>106</v>
      </c>
      <c r="B6" s="1">
        <v>14.0</v>
      </c>
      <c r="C6" s="37">
        <v>611.67</v>
      </c>
      <c r="D6" s="1" t="s">
        <v>112</v>
      </c>
      <c r="E6" s="1" t="s">
        <v>49</v>
      </c>
      <c r="F6" s="1" t="s">
        <v>107</v>
      </c>
      <c r="G6" s="1" t="s">
        <v>108</v>
      </c>
      <c r="H6" s="1" t="s">
        <v>109</v>
      </c>
      <c r="I6" s="1" t="s">
        <v>100</v>
      </c>
      <c r="J6" s="1" t="s">
        <v>27</v>
      </c>
      <c r="L6" s="1" t="s">
        <v>110</v>
      </c>
    </row>
    <row r="7">
      <c r="A7" s="1" t="s">
        <v>111</v>
      </c>
      <c r="B7" s="1">
        <v>11.0</v>
      </c>
      <c r="C7" s="37">
        <v>119.83</v>
      </c>
      <c r="D7" s="1" t="s">
        <v>96</v>
      </c>
      <c r="E7" s="1" t="s">
        <v>49</v>
      </c>
      <c r="F7" s="1" t="s">
        <v>107</v>
      </c>
      <c r="G7" s="1" t="s">
        <v>98</v>
      </c>
      <c r="H7" s="1" t="s">
        <v>109</v>
      </c>
      <c r="I7" s="1" t="s">
        <v>100</v>
      </c>
      <c r="J7" s="1" t="s">
        <v>22</v>
      </c>
      <c r="L7" s="1" t="s">
        <v>101</v>
      </c>
    </row>
    <row r="8">
      <c r="A8" s="1" t="s">
        <v>610</v>
      </c>
      <c r="B8" s="1">
        <v>20.0</v>
      </c>
      <c r="C8" s="37">
        <v>88.0</v>
      </c>
      <c r="D8" s="1" t="s">
        <v>112</v>
      </c>
      <c r="E8" s="1" t="s">
        <v>114</v>
      </c>
      <c r="F8" s="1" t="s">
        <v>115</v>
      </c>
      <c r="G8" s="1" t="s">
        <v>98</v>
      </c>
      <c r="H8" s="1" t="s">
        <v>109</v>
      </c>
      <c r="I8" s="1" t="s">
        <v>100</v>
      </c>
      <c r="J8" s="1" t="s">
        <v>21</v>
      </c>
      <c r="L8" s="1" t="s">
        <v>101</v>
      </c>
    </row>
    <row r="9">
      <c r="A9" s="1" t="s">
        <v>116</v>
      </c>
      <c r="B9" s="1">
        <v>30.0</v>
      </c>
      <c r="C9" s="37">
        <v>13.95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</row>
    <row r="10">
      <c r="A10" s="1" t="s">
        <v>121</v>
      </c>
      <c r="B10" s="1">
        <v>29.0</v>
      </c>
      <c r="C10" s="37">
        <v>14.9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</row>
    <row r="11">
      <c r="A11" s="1" t="s">
        <v>122</v>
      </c>
      <c r="B11" s="1">
        <v>2.0</v>
      </c>
      <c r="C11" s="37">
        <v>9.9</v>
      </c>
      <c r="D11" s="1" t="s">
        <v>96</v>
      </c>
      <c r="E11" s="1" t="s">
        <v>117</v>
      </c>
      <c r="F11" s="1" t="s">
        <v>107</v>
      </c>
      <c r="G11" s="1" t="s">
        <v>118</v>
      </c>
      <c r="H11" s="1" t="s">
        <v>109</v>
      </c>
      <c r="J11" s="1" t="s">
        <v>17</v>
      </c>
      <c r="L11" s="1" t="s">
        <v>101</v>
      </c>
    </row>
    <row r="12">
      <c r="A12" s="1" t="s">
        <v>123</v>
      </c>
      <c r="B12" s="1">
        <v>15.0</v>
      </c>
      <c r="C12" s="37">
        <v>89.9</v>
      </c>
      <c r="D12" s="1" t="s">
        <v>112</v>
      </c>
      <c r="E12" s="1" t="s">
        <v>117</v>
      </c>
      <c r="F12" s="1" t="s">
        <v>115</v>
      </c>
      <c r="G12" s="1" t="s">
        <v>118</v>
      </c>
      <c r="H12" s="1" t="s">
        <v>99</v>
      </c>
      <c r="J12" s="1" t="s">
        <v>19</v>
      </c>
      <c r="L12" s="1" t="s">
        <v>101</v>
      </c>
    </row>
    <row r="13">
      <c r="A13" s="1" t="s">
        <v>124</v>
      </c>
      <c r="B13" s="1">
        <v>8.0</v>
      </c>
      <c r="C13" s="37">
        <v>39.9</v>
      </c>
      <c r="D13" s="1" t="s">
        <v>96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</row>
    <row r="14">
      <c r="A14" s="1" t="s">
        <v>125</v>
      </c>
      <c r="B14" s="1">
        <v>15.0</v>
      </c>
      <c r="C14" s="37">
        <v>0.0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109</v>
      </c>
      <c r="J14" s="1" t="s">
        <v>17</v>
      </c>
      <c r="L14" s="1" t="s">
        <v>101</v>
      </c>
    </row>
    <row r="15">
      <c r="A15" s="1" t="s">
        <v>126</v>
      </c>
      <c r="B15" s="1">
        <v>27.0</v>
      </c>
      <c r="C15" s="37">
        <v>206.99</v>
      </c>
      <c r="D15" s="1" t="s">
        <v>112</v>
      </c>
      <c r="E15" s="1" t="s">
        <v>117</v>
      </c>
      <c r="F15" s="1" t="s">
        <v>107</v>
      </c>
      <c r="G15" s="1" t="s">
        <v>118</v>
      </c>
      <c r="H15" s="1" t="s">
        <v>127</v>
      </c>
      <c r="I15" s="1" t="s">
        <v>100</v>
      </c>
      <c r="J15" s="1" t="s">
        <v>26</v>
      </c>
      <c r="L15" s="1" t="s">
        <v>101</v>
      </c>
    </row>
    <row r="16">
      <c r="A16" s="1" t="s">
        <v>128</v>
      </c>
      <c r="B16" s="1">
        <v>2.0</v>
      </c>
      <c r="C16" s="37">
        <v>37.9</v>
      </c>
      <c r="D16" s="1" t="s">
        <v>96</v>
      </c>
      <c r="E16" s="1" t="s">
        <v>117</v>
      </c>
      <c r="F16" s="1" t="s">
        <v>115</v>
      </c>
      <c r="G16" s="1" t="s">
        <v>118</v>
      </c>
      <c r="H16" s="1" t="s">
        <v>129</v>
      </c>
      <c r="I16" s="1" t="s">
        <v>129</v>
      </c>
      <c r="J16" s="1" t="s">
        <v>16</v>
      </c>
      <c r="K16" s="42">
        <v>45271.0</v>
      </c>
      <c r="L16" s="1" t="s">
        <v>101</v>
      </c>
    </row>
    <row r="17">
      <c r="A17" s="1" t="s">
        <v>130</v>
      </c>
      <c r="B17" s="1">
        <v>27.0</v>
      </c>
      <c r="C17" s="37">
        <v>109.0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</row>
    <row r="18">
      <c r="A18" s="1" t="s">
        <v>247</v>
      </c>
      <c r="B18" s="1">
        <v>11.0</v>
      </c>
      <c r="C18" s="37">
        <v>0.0</v>
      </c>
      <c r="D18" s="1" t="s">
        <v>96</v>
      </c>
      <c r="E18" s="1" t="s">
        <v>105</v>
      </c>
      <c r="F18" s="1" t="s">
        <v>107</v>
      </c>
      <c r="G18" s="1" t="s">
        <v>98</v>
      </c>
      <c r="H18" s="1" t="s">
        <v>109</v>
      </c>
      <c r="J18" s="1" t="s">
        <v>29</v>
      </c>
    </row>
    <row r="19">
      <c r="A19" s="1" t="s">
        <v>372</v>
      </c>
      <c r="B19" s="1">
        <v>13.0</v>
      </c>
      <c r="C19" s="37">
        <f>797.5+467.17+183.22</f>
        <v>1447.89</v>
      </c>
      <c r="D19" s="37">
        <v>1183.0</v>
      </c>
      <c r="E19" s="1" t="s">
        <v>105</v>
      </c>
      <c r="F19" s="1" t="s">
        <v>115</v>
      </c>
      <c r="G19" s="1" t="s">
        <v>98</v>
      </c>
      <c r="J19" s="1" t="s">
        <v>15</v>
      </c>
    </row>
    <row r="20">
      <c r="A20" s="1" t="s">
        <v>895</v>
      </c>
      <c r="B20" s="1">
        <v>10.0</v>
      </c>
      <c r="C20" s="37">
        <v>0.0</v>
      </c>
      <c r="D20" s="37">
        <v>250.0</v>
      </c>
      <c r="E20" s="1" t="s">
        <v>105</v>
      </c>
      <c r="F20" s="1" t="s">
        <v>107</v>
      </c>
      <c r="G20" s="1" t="s">
        <v>98</v>
      </c>
      <c r="H20" s="1" t="s">
        <v>109</v>
      </c>
      <c r="I20" s="1" t="s">
        <v>100</v>
      </c>
      <c r="J20" s="1" t="s">
        <v>28</v>
      </c>
    </row>
    <row r="21">
      <c r="A21" s="1" t="s">
        <v>1052</v>
      </c>
      <c r="B21" s="1">
        <v>10.0</v>
      </c>
      <c r="C21" s="37">
        <v>0.0</v>
      </c>
      <c r="D21" s="37">
        <v>7738.59</v>
      </c>
      <c r="E21" s="1" t="s">
        <v>49</v>
      </c>
      <c r="F21" s="1" t="s">
        <v>103</v>
      </c>
      <c r="G21" s="1" t="s">
        <v>98</v>
      </c>
      <c r="H21" s="1" t="s">
        <v>99</v>
      </c>
      <c r="I21" s="1" t="s">
        <v>100</v>
      </c>
      <c r="J21" s="1" t="s">
        <v>14</v>
      </c>
    </row>
    <row r="22">
      <c r="A22" s="1" t="s">
        <v>625</v>
      </c>
      <c r="C22" s="37">
        <v>0.0</v>
      </c>
      <c r="D22" s="1" t="s">
        <v>1028</v>
      </c>
      <c r="J22" s="1" t="s">
        <v>995</v>
      </c>
    </row>
    <row r="23">
      <c r="A23" s="1" t="s">
        <v>914</v>
      </c>
      <c r="C23" s="37">
        <v>0.0</v>
      </c>
      <c r="D23" s="37">
        <v>274.0</v>
      </c>
      <c r="J23" s="1" t="s">
        <v>42</v>
      </c>
    </row>
    <row r="24">
      <c r="A24" s="1" t="s">
        <v>1053</v>
      </c>
      <c r="B24" s="1">
        <v>3.0</v>
      </c>
      <c r="C24" s="37">
        <v>324.7</v>
      </c>
      <c r="D24" s="1" t="s">
        <v>96</v>
      </c>
      <c r="E24" s="1" t="s">
        <v>117</v>
      </c>
      <c r="G24" s="1" t="s">
        <v>118</v>
      </c>
      <c r="J24" s="1" t="s">
        <v>15</v>
      </c>
    </row>
    <row r="25">
      <c r="A25" s="1" t="s">
        <v>1054</v>
      </c>
      <c r="B25" s="1">
        <v>3.0</v>
      </c>
      <c r="C25" s="37">
        <v>7.99</v>
      </c>
      <c r="D25" s="1" t="s">
        <v>96</v>
      </c>
      <c r="E25" s="1" t="s">
        <v>117</v>
      </c>
      <c r="G25" s="1" t="s">
        <v>118</v>
      </c>
      <c r="J25" s="1" t="s">
        <v>33</v>
      </c>
    </row>
    <row r="26">
      <c r="A26" s="1" t="s">
        <v>1055</v>
      </c>
      <c r="B26" s="1">
        <v>6.0</v>
      </c>
      <c r="C26" s="37">
        <v>20.0</v>
      </c>
      <c r="D26" s="1" t="s">
        <v>96</v>
      </c>
      <c r="E26" s="1" t="s">
        <v>117</v>
      </c>
      <c r="G26" s="1" t="s">
        <v>118</v>
      </c>
      <c r="J26" s="1" t="s">
        <v>612</v>
      </c>
    </row>
    <row r="27">
      <c r="A27" s="1" t="s">
        <v>628</v>
      </c>
      <c r="B27" s="1">
        <v>6.0</v>
      </c>
      <c r="C27" s="37">
        <v>101.66</v>
      </c>
      <c r="D27" s="1" t="s">
        <v>96</v>
      </c>
      <c r="E27" s="1" t="s">
        <v>117</v>
      </c>
      <c r="G27" s="1" t="s">
        <v>118</v>
      </c>
      <c r="J27" s="1" t="s">
        <v>1002</v>
      </c>
    </row>
    <row r="28">
      <c r="A28" s="1" t="s">
        <v>1056</v>
      </c>
      <c r="B28" s="1">
        <v>7.0</v>
      </c>
      <c r="C28" s="37">
        <v>50.0</v>
      </c>
      <c r="D28" s="1" t="s">
        <v>96</v>
      </c>
      <c r="E28" s="1" t="s">
        <v>117</v>
      </c>
      <c r="G28" s="1" t="s">
        <v>118</v>
      </c>
      <c r="J28" s="1" t="s">
        <v>612</v>
      </c>
    </row>
    <row r="29">
      <c r="A29" s="1" t="s">
        <v>915</v>
      </c>
      <c r="C29" s="37">
        <v>205.0</v>
      </c>
      <c r="D29" s="1" t="s">
        <v>96</v>
      </c>
      <c r="E29" s="1" t="s">
        <v>132</v>
      </c>
      <c r="F29" s="1" t="s">
        <v>916</v>
      </c>
      <c r="G29" s="1" t="s">
        <v>98</v>
      </c>
      <c r="J29" s="1" t="s">
        <v>28</v>
      </c>
    </row>
    <row r="30">
      <c r="A30" s="1" t="s">
        <v>1027</v>
      </c>
      <c r="B30" s="1">
        <v>8.0</v>
      </c>
      <c r="C30" s="37">
        <v>16.9</v>
      </c>
      <c r="D30" s="1" t="s">
        <v>96</v>
      </c>
      <c r="E30" s="1" t="s">
        <v>117</v>
      </c>
      <c r="F30" s="1"/>
      <c r="G30" s="1" t="s">
        <v>118</v>
      </c>
      <c r="J30" s="1" t="s">
        <v>34</v>
      </c>
    </row>
    <row r="31">
      <c r="A31" s="1" t="s">
        <v>1057</v>
      </c>
      <c r="B31" s="1">
        <v>9.0</v>
      </c>
      <c r="C31" s="37">
        <v>69.92</v>
      </c>
      <c r="D31" s="1" t="s">
        <v>96</v>
      </c>
      <c r="E31" s="1" t="s">
        <v>117</v>
      </c>
      <c r="G31" s="1" t="s">
        <v>118</v>
      </c>
      <c r="J31" s="1" t="s">
        <v>1058</v>
      </c>
    </row>
    <row r="32">
      <c r="A32" s="1" t="s">
        <v>1059</v>
      </c>
      <c r="B32" s="1">
        <v>9.0</v>
      </c>
      <c r="C32" s="37">
        <v>9.98</v>
      </c>
      <c r="D32" s="1" t="s">
        <v>96</v>
      </c>
      <c r="E32" s="1" t="s">
        <v>117</v>
      </c>
      <c r="G32" s="1" t="s">
        <v>118</v>
      </c>
      <c r="J32" s="1" t="s">
        <v>33</v>
      </c>
    </row>
    <row r="33">
      <c r="A33" s="1" t="s">
        <v>1060</v>
      </c>
      <c r="B33" s="1">
        <v>10.0</v>
      </c>
      <c r="C33" s="37">
        <v>59.24</v>
      </c>
      <c r="D33" s="1" t="s">
        <v>96</v>
      </c>
      <c r="E33" s="1" t="s">
        <v>117</v>
      </c>
      <c r="G33" s="1" t="s">
        <v>118</v>
      </c>
      <c r="J33" s="1" t="s">
        <v>24</v>
      </c>
    </row>
    <row r="34">
      <c r="A34" s="1" t="s">
        <v>1061</v>
      </c>
      <c r="B34" s="1">
        <v>12.0</v>
      </c>
      <c r="C34" s="37">
        <v>50.0</v>
      </c>
      <c r="D34" s="1" t="s">
        <v>96</v>
      </c>
      <c r="E34" s="1" t="s">
        <v>117</v>
      </c>
      <c r="G34" s="1" t="s">
        <v>118</v>
      </c>
      <c r="J34" s="1" t="s">
        <v>612</v>
      </c>
    </row>
    <row r="35">
      <c r="A35" s="1" t="s">
        <v>39</v>
      </c>
      <c r="B35" s="1">
        <v>12.0</v>
      </c>
      <c r="C35" s="37">
        <f>4+4</f>
        <v>8</v>
      </c>
      <c r="D35" s="1" t="s">
        <v>96</v>
      </c>
      <c r="E35" s="1" t="s">
        <v>117</v>
      </c>
      <c r="G35" s="1" t="s">
        <v>118</v>
      </c>
      <c r="J35" s="1" t="s">
        <v>39</v>
      </c>
    </row>
    <row r="36">
      <c r="A36" s="1" t="s">
        <v>1062</v>
      </c>
      <c r="B36" s="1">
        <v>7.0</v>
      </c>
      <c r="C36" s="22">
        <v>9.5</v>
      </c>
      <c r="D36" s="1" t="s">
        <v>96</v>
      </c>
      <c r="E36" s="1" t="s">
        <v>105</v>
      </c>
      <c r="G36" s="1" t="s">
        <v>98</v>
      </c>
      <c r="J36" s="1" t="s">
        <v>35</v>
      </c>
    </row>
    <row r="37">
      <c r="A37" s="1" t="s">
        <v>1063</v>
      </c>
      <c r="B37" s="1">
        <v>7.0</v>
      </c>
      <c r="C37" s="22">
        <v>61.94</v>
      </c>
      <c r="D37" s="1" t="s">
        <v>96</v>
      </c>
      <c r="E37" s="1" t="s">
        <v>105</v>
      </c>
      <c r="G37" s="1" t="s">
        <v>98</v>
      </c>
      <c r="J37" s="1" t="s">
        <v>33</v>
      </c>
    </row>
    <row r="38">
      <c r="A38" s="1" t="s">
        <v>1064</v>
      </c>
      <c r="B38" s="1">
        <v>7.0</v>
      </c>
      <c r="C38" s="22">
        <v>138.74</v>
      </c>
      <c r="D38" s="1" t="s">
        <v>96</v>
      </c>
      <c r="E38" s="1" t="s">
        <v>105</v>
      </c>
      <c r="G38" s="1" t="s">
        <v>98</v>
      </c>
      <c r="J38" s="1" t="s">
        <v>15</v>
      </c>
    </row>
    <row r="39">
      <c r="A39" s="1" t="s">
        <v>1065</v>
      </c>
      <c r="B39" s="1">
        <v>8.0</v>
      </c>
      <c r="C39" s="22">
        <f>80+20</f>
        <v>100</v>
      </c>
      <c r="D39" s="1" t="s">
        <v>96</v>
      </c>
      <c r="E39" s="1" t="s">
        <v>105</v>
      </c>
      <c r="G39" s="1" t="s">
        <v>98</v>
      </c>
      <c r="J39" s="1" t="s">
        <v>42</v>
      </c>
    </row>
    <row r="40">
      <c r="A40" s="1" t="s">
        <v>1066</v>
      </c>
      <c r="B40" s="1">
        <v>10.0</v>
      </c>
      <c r="C40" s="22">
        <v>100.0</v>
      </c>
      <c r="D40" s="1" t="s">
        <v>96</v>
      </c>
      <c r="E40" s="1" t="s">
        <v>132</v>
      </c>
      <c r="G40" s="1" t="s">
        <v>108</v>
      </c>
      <c r="J40" s="1" t="s">
        <v>32</v>
      </c>
    </row>
    <row r="41">
      <c r="A41" s="1" t="s">
        <v>1067</v>
      </c>
      <c r="B41" s="1">
        <v>14.0</v>
      </c>
      <c r="C41" s="22">
        <v>155.33</v>
      </c>
      <c r="D41" s="1"/>
      <c r="E41" s="1" t="s">
        <v>117</v>
      </c>
      <c r="G41" s="1"/>
      <c r="J41" s="1" t="s">
        <v>1058</v>
      </c>
    </row>
    <row r="42">
      <c r="A42" s="1" t="s">
        <v>1068</v>
      </c>
      <c r="B42" s="1">
        <v>16.0</v>
      </c>
      <c r="C42" s="22">
        <v>40.0</v>
      </c>
      <c r="D42" s="1"/>
      <c r="E42" s="1" t="s">
        <v>117</v>
      </c>
      <c r="G42" s="1"/>
      <c r="J42" s="1" t="s">
        <v>612</v>
      </c>
    </row>
    <row r="43">
      <c r="A43" s="1" t="s">
        <v>1069</v>
      </c>
      <c r="B43" s="1">
        <v>16.0</v>
      </c>
      <c r="C43" s="22">
        <v>22.16</v>
      </c>
      <c r="D43" s="1"/>
      <c r="E43" s="1" t="s">
        <v>117</v>
      </c>
      <c r="G43" s="1"/>
      <c r="J43" s="1" t="s">
        <v>1058</v>
      </c>
    </row>
    <row r="44">
      <c r="A44" s="1" t="s">
        <v>1070</v>
      </c>
      <c r="B44" s="1">
        <v>16.0</v>
      </c>
      <c r="C44" s="22">
        <v>40.93</v>
      </c>
      <c r="D44" s="1"/>
      <c r="E44" s="1" t="s">
        <v>117</v>
      </c>
      <c r="G44" s="1"/>
      <c r="J44" s="1" t="s">
        <v>28</v>
      </c>
    </row>
    <row r="45">
      <c r="A45" s="1" t="s">
        <v>1071</v>
      </c>
      <c r="B45" s="1">
        <v>16.0</v>
      </c>
      <c r="C45" s="22">
        <v>14.9</v>
      </c>
      <c r="E45" s="1" t="s">
        <v>117</v>
      </c>
      <c r="J45" s="1" t="s">
        <v>17</v>
      </c>
    </row>
    <row r="46">
      <c r="A46" s="1" t="s">
        <v>1072</v>
      </c>
      <c r="B46" s="1">
        <v>17.0</v>
      </c>
      <c r="C46" s="22">
        <v>16.9</v>
      </c>
      <c r="E46" s="1" t="s">
        <v>117</v>
      </c>
      <c r="J46" s="1" t="s">
        <v>34</v>
      </c>
    </row>
    <row r="47">
      <c r="A47" s="1" t="s">
        <v>930</v>
      </c>
      <c r="B47" s="1">
        <v>17.0</v>
      </c>
      <c r="C47" s="8">
        <f>28.9*2</f>
        <v>57.8</v>
      </c>
      <c r="E47" s="1" t="s">
        <v>117</v>
      </c>
      <c r="J47" s="1" t="s">
        <v>34</v>
      </c>
    </row>
    <row r="48">
      <c r="A48" s="1" t="s">
        <v>1073</v>
      </c>
      <c r="B48" s="1">
        <v>17.0</v>
      </c>
      <c r="C48" s="22">
        <v>62.27</v>
      </c>
      <c r="E48" s="1" t="s">
        <v>117</v>
      </c>
      <c r="J48" s="1" t="s">
        <v>33</v>
      </c>
    </row>
    <row r="49">
      <c r="A49" s="1" t="s">
        <v>1074</v>
      </c>
      <c r="B49" s="1">
        <v>17.0</v>
      </c>
      <c r="C49" s="22">
        <v>16.0</v>
      </c>
      <c r="E49" s="1" t="s">
        <v>117</v>
      </c>
      <c r="J49" s="1" t="s">
        <v>264</v>
      </c>
    </row>
    <row r="50">
      <c r="A50" s="1" t="s">
        <v>1061</v>
      </c>
      <c r="B50" s="1">
        <v>18.0</v>
      </c>
      <c r="C50" s="22">
        <v>50.0</v>
      </c>
      <c r="E50" s="1" t="s">
        <v>117</v>
      </c>
      <c r="J50" s="1" t="s">
        <v>18</v>
      </c>
    </row>
    <row r="51">
      <c r="A51" s="1" t="s">
        <v>623</v>
      </c>
      <c r="B51" s="1">
        <v>18.0</v>
      </c>
      <c r="C51" s="22">
        <v>40.0</v>
      </c>
      <c r="E51" s="1" t="s">
        <v>117</v>
      </c>
      <c r="J51" s="1" t="s">
        <v>18</v>
      </c>
    </row>
    <row r="52">
      <c r="A52" s="1" t="s">
        <v>1075</v>
      </c>
      <c r="B52" s="1">
        <v>19.0</v>
      </c>
      <c r="C52" s="22">
        <v>76.01</v>
      </c>
      <c r="E52" s="1" t="s">
        <v>117</v>
      </c>
      <c r="J52" s="1" t="s">
        <v>1058</v>
      </c>
    </row>
    <row r="53">
      <c r="A53" s="1" t="s">
        <v>1065</v>
      </c>
      <c r="B53" s="1">
        <v>19.0</v>
      </c>
      <c r="C53" s="22">
        <v>550.0</v>
      </c>
      <c r="E53" s="1" t="s">
        <v>117</v>
      </c>
      <c r="J53" s="1" t="s">
        <v>42</v>
      </c>
    </row>
    <row r="54">
      <c r="A54" s="1" t="s">
        <v>1076</v>
      </c>
      <c r="B54" s="1">
        <v>17.0</v>
      </c>
      <c r="C54" s="22">
        <v>63.5</v>
      </c>
      <c r="E54" s="1" t="s">
        <v>105</v>
      </c>
      <c r="J54" s="1" t="s">
        <v>996</v>
      </c>
    </row>
    <row r="55">
      <c r="A55" s="1" t="s">
        <v>1040</v>
      </c>
      <c r="B55" s="1">
        <v>17.0</v>
      </c>
      <c r="C55" s="22">
        <v>23.97</v>
      </c>
      <c r="E55" s="1" t="s">
        <v>105</v>
      </c>
      <c r="J55" s="1" t="s">
        <v>35</v>
      </c>
    </row>
    <row r="56">
      <c r="A56" s="1" t="s">
        <v>161</v>
      </c>
      <c r="B56" s="1">
        <v>21.0</v>
      </c>
      <c r="C56" s="22">
        <v>325.0</v>
      </c>
      <c r="E56" s="1" t="s">
        <v>117</v>
      </c>
      <c r="J56" s="1" t="s">
        <v>1058</v>
      </c>
    </row>
    <row r="57">
      <c r="A57" s="1" t="s">
        <v>39</v>
      </c>
      <c r="B57" s="1">
        <v>22.0</v>
      </c>
      <c r="C57" s="1">
        <v>4.0</v>
      </c>
      <c r="E57" s="1" t="s">
        <v>117</v>
      </c>
      <c r="J57" s="1" t="s">
        <v>39</v>
      </c>
    </row>
    <row r="59">
      <c r="A59" s="1" t="s">
        <v>236</v>
      </c>
      <c r="C59" s="14">
        <f>8892.02*0.3-(633.9)</f>
        <v>2033.706</v>
      </c>
    </row>
    <row r="60">
      <c r="A60" s="1" t="s">
        <v>50</v>
      </c>
      <c r="C60" s="8">
        <f>SUM(C2:C57)</f>
        <v>7127.7</v>
      </c>
      <c r="D60" s="8">
        <f>8892.02-C60-C59</f>
        <v>-269.386</v>
      </c>
    </row>
    <row r="62"/>
    <row r="63"/>
    <row r="64"/>
    <row r="65"/>
    <row r="66"/>
    <row r="67"/>
    <row r="68"/>
    <row r="69"/>
    <row r="71"/>
    <row r="72"/>
    <row r="73"/>
    <row r="74"/>
    <row r="75"/>
    <row r="76"/>
    <row r="77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15">
      <c r="A115" s="14" t="s">
        <v>87</v>
      </c>
      <c r="B115" s="14" t="s">
        <v>237</v>
      </c>
    </row>
    <row r="116">
      <c r="A116" s="14"/>
      <c r="B116" s="8">
        <v>0.0</v>
      </c>
    </row>
    <row r="117">
      <c r="A117" s="14" t="s">
        <v>49</v>
      </c>
      <c r="B117" s="8">
        <v>2177.0299999999997</v>
      </c>
    </row>
    <row r="118">
      <c r="A118" s="14" t="s">
        <v>105</v>
      </c>
      <c r="B118" s="8">
        <v>1447.89</v>
      </c>
    </row>
    <row r="119">
      <c r="A119" s="14" t="s">
        <v>114</v>
      </c>
      <c r="B119" s="8">
        <v>88.0</v>
      </c>
    </row>
    <row r="120">
      <c r="A120" s="14" t="s">
        <v>117</v>
      </c>
      <c r="B120" s="8">
        <v>855.1300000000001</v>
      </c>
    </row>
    <row r="121">
      <c r="A121" s="14" t="s">
        <v>238</v>
      </c>
      <c r="B121" s="8">
        <v>4568.049999999999</v>
      </c>
    </row>
  </sheetData>
  <autoFilter ref="$A$1:$BV$57"/>
  <drawing r:id="rId4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5" max="5" width="16.38"/>
    <col customWidth="1" min="13" max="13" width="7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</row>
    <row r="2">
      <c r="A2" s="1" t="s">
        <v>95</v>
      </c>
      <c r="B2" s="1">
        <v>5.0</v>
      </c>
      <c r="C2" s="37">
        <v>605.0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</row>
    <row r="3">
      <c r="A3" s="1" t="s">
        <v>102</v>
      </c>
      <c r="B3" s="1">
        <v>7.0</v>
      </c>
      <c r="C3" s="37">
        <v>988.0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</row>
    <row r="4">
      <c r="A4" s="1" t="s">
        <v>106</v>
      </c>
      <c r="B4" s="1">
        <v>14.0</v>
      </c>
      <c r="C4" s="37">
        <v>0.0</v>
      </c>
      <c r="D4" s="1" t="s">
        <v>112</v>
      </c>
      <c r="E4" s="1" t="s">
        <v>49</v>
      </c>
      <c r="F4" s="1" t="s">
        <v>107</v>
      </c>
      <c r="G4" s="1" t="s">
        <v>108</v>
      </c>
      <c r="H4" s="1" t="s">
        <v>109</v>
      </c>
      <c r="I4" s="1" t="s">
        <v>100</v>
      </c>
      <c r="J4" s="1" t="s">
        <v>27</v>
      </c>
      <c r="L4" s="1" t="s">
        <v>110</v>
      </c>
    </row>
    <row r="5">
      <c r="A5" s="1" t="s">
        <v>106</v>
      </c>
      <c r="B5" s="1">
        <v>14.0</v>
      </c>
      <c r="C5" s="37">
        <v>0.0</v>
      </c>
      <c r="D5" s="1" t="s">
        <v>112</v>
      </c>
      <c r="E5" s="1" t="s">
        <v>49</v>
      </c>
      <c r="F5" s="1" t="s">
        <v>107</v>
      </c>
      <c r="G5" s="1"/>
      <c r="H5" s="1"/>
      <c r="I5" s="1"/>
      <c r="J5" s="1" t="s">
        <v>27</v>
      </c>
      <c r="L5" s="1"/>
    </row>
    <row r="6">
      <c r="A6" s="1" t="s">
        <v>111</v>
      </c>
      <c r="B6" s="1">
        <v>11.0</v>
      </c>
      <c r="C6" s="37">
        <v>104.0</v>
      </c>
      <c r="D6" s="1" t="s">
        <v>112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</row>
    <row r="7">
      <c r="A7" s="1" t="s">
        <v>610</v>
      </c>
      <c r="B7" s="1">
        <v>20.0</v>
      </c>
      <c r="C7" s="37">
        <v>99.0</v>
      </c>
      <c r="D7" s="1" t="s">
        <v>112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</row>
    <row r="8">
      <c r="A8" s="53" t="s">
        <v>116</v>
      </c>
      <c r="B8" s="53">
        <v>30.0</v>
      </c>
      <c r="C8" s="54">
        <v>13.95</v>
      </c>
      <c r="D8" s="53" t="s">
        <v>112</v>
      </c>
      <c r="E8" s="53" t="s">
        <v>117</v>
      </c>
      <c r="F8" s="53" t="s">
        <v>107</v>
      </c>
      <c r="G8" s="53" t="s">
        <v>118</v>
      </c>
      <c r="H8" s="53" t="s">
        <v>109</v>
      </c>
      <c r="I8" s="46"/>
      <c r="J8" s="53" t="s">
        <v>17</v>
      </c>
      <c r="K8" s="46"/>
      <c r="L8" s="53" t="s">
        <v>101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</row>
    <row r="9">
      <c r="A9" s="53" t="s">
        <v>121</v>
      </c>
      <c r="B9" s="53">
        <v>29.0</v>
      </c>
      <c r="C9" s="54">
        <v>14.9</v>
      </c>
      <c r="D9" s="53" t="s">
        <v>112</v>
      </c>
      <c r="E9" s="53" t="s">
        <v>117</v>
      </c>
      <c r="F9" s="53" t="s">
        <v>107</v>
      </c>
      <c r="G9" s="53" t="s">
        <v>118</v>
      </c>
      <c r="H9" s="53" t="s">
        <v>109</v>
      </c>
      <c r="I9" s="46"/>
      <c r="J9" s="53" t="s">
        <v>17</v>
      </c>
      <c r="K9" s="46"/>
      <c r="L9" s="53" t="s">
        <v>101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</row>
    <row r="10">
      <c r="A10" s="53" t="s">
        <v>122</v>
      </c>
      <c r="B10" s="53">
        <v>2.0</v>
      </c>
      <c r="C10" s="54">
        <v>9.9</v>
      </c>
      <c r="D10" s="53" t="s">
        <v>112</v>
      </c>
      <c r="E10" s="53" t="s">
        <v>117</v>
      </c>
      <c r="F10" s="53" t="s">
        <v>107</v>
      </c>
      <c r="G10" s="53" t="s">
        <v>118</v>
      </c>
      <c r="H10" s="53" t="s">
        <v>109</v>
      </c>
      <c r="I10" s="46"/>
      <c r="J10" s="53" t="s">
        <v>17</v>
      </c>
      <c r="K10" s="46"/>
      <c r="L10" s="53" t="s">
        <v>101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</row>
    <row r="11">
      <c r="A11" s="53" t="s">
        <v>123</v>
      </c>
      <c r="B11" s="53">
        <v>15.0</v>
      </c>
      <c r="C11" s="54">
        <v>89.9</v>
      </c>
      <c r="D11" s="53" t="s">
        <v>112</v>
      </c>
      <c r="E11" s="53" t="s">
        <v>117</v>
      </c>
      <c r="F11" s="53" t="s">
        <v>115</v>
      </c>
      <c r="G11" s="53" t="s">
        <v>118</v>
      </c>
      <c r="H11" s="53" t="s">
        <v>99</v>
      </c>
      <c r="I11" s="46"/>
      <c r="J11" s="53" t="s">
        <v>19</v>
      </c>
      <c r="K11" s="46"/>
      <c r="L11" s="53" t="s">
        <v>101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</row>
    <row r="12">
      <c r="A12" s="53" t="s">
        <v>124</v>
      </c>
      <c r="B12" s="53">
        <v>8.0</v>
      </c>
      <c r="C12" s="54">
        <v>39.9</v>
      </c>
      <c r="D12" s="53" t="s">
        <v>112</v>
      </c>
      <c r="E12" s="53" t="s">
        <v>117</v>
      </c>
      <c r="F12" s="53" t="s">
        <v>107</v>
      </c>
      <c r="G12" s="53" t="s">
        <v>118</v>
      </c>
      <c r="H12" s="53" t="s">
        <v>109</v>
      </c>
      <c r="I12" s="46"/>
      <c r="J12" s="53" t="s">
        <v>17</v>
      </c>
      <c r="K12" s="46"/>
      <c r="L12" s="53" t="s">
        <v>101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</row>
    <row r="13">
      <c r="A13" s="1" t="s">
        <v>125</v>
      </c>
      <c r="B13" s="1">
        <v>15.0</v>
      </c>
      <c r="C13" s="37">
        <v>0.0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</row>
    <row r="14">
      <c r="A14" s="53" t="s">
        <v>126</v>
      </c>
      <c r="B14" s="53">
        <v>27.0</v>
      </c>
      <c r="C14" s="54">
        <v>206.99</v>
      </c>
      <c r="D14" s="53" t="s">
        <v>112</v>
      </c>
      <c r="E14" s="53" t="s">
        <v>117</v>
      </c>
      <c r="F14" s="53" t="s">
        <v>107</v>
      </c>
      <c r="G14" s="53" t="s">
        <v>118</v>
      </c>
      <c r="H14" s="53" t="s">
        <v>127</v>
      </c>
      <c r="I14" s="53" t="s">
        <v>100</v>
      </c>
      <c r="J14" s="53" t="s">
        <v>26</v>
      </c>
      <c r="K14" s="46"/>
      <c r="L14" s="53" t="s">
        <v>101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</row>
    <row r="15">
      <c r="A15" s="53" t="s">
        <v>128</v>
      </c>
      <c r="B15" s="53">
        <v>2.0</v>
      </c>
      <c r="C15" s="54">
        <v>37.9</v>
      </c>
      <c r="D15" s="53" t="s">
        <v>112</v>
      </c>
      <c r="E15" s="53" t="s">
        <v>117</v>
      </c>
      <c r="F15" s="53" t="s">
        <v>115</v>
      </c>
      <c r="G15" s="53" t="s">
        <v>118</v>
      </c>
      <c r="H15" s="53" t="s">
        <v>129</v>
      </c>
      <c r="I15" s="53" t="s">
        <v>129</v>
      </c>
      <c r="J15" s="53" t="s">
        <v>16</v>
      </c>
      <c r="K15" s="55">
        <v>45270.0</v>
      </c>
      <c r="L15" s="53" t="s">
        <v>101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</row>
    <row r="16">
      <c r="A16" s="53" t="s">
        <v>130</v>
      </c>
      <c r="B16" s="53">
        <v>27.0</v>
      </c>
      <c r="C16" s="54">
        <v>109.0</v>
      </c>
      <c r="D16" s="53" t="s">
        <v>112</v>
      </c>
      <c r="E16" s="53" t="s">
        <v>117</v>
      </c>
      <c r="F16" s="53" t="s">
        <v>115</v>
      </c>
      <c r="G16" s="53" t="s">
        <v>118</v>
      </c>
      <c r="H16" s="53" t="s">
        <v>99</v>
      </c>
      <c r="I16" s="53" t="s">
        <v>100</v>
      </c>
      <c r="J16" s="53" t="s">
        <v>23</v>
      </c>
      <c r="K16" s="46"/>
      <c r="L16" s="53" t="s">
        <v>101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</row>
    <row r="17">
      <c r="A17" s="53" t="s">
        <v>372</v>
      </c>
      <c r="B17" s="53">
        <v>1.0</v>
      </c>
      <c r="C17" s="54">
        <v>492.99</v>
      </c>
      <c r="D17" s="53" t="s">
        <v>112</v>
      </c>
      <c r="E17" s="53" t="s">
        <v>105</v>
      </c>
      <c r="F17" s="53" t="s">
        <v>115</v>
      </c>
      <c r="G17" s="53" t="s">
        <v>98</v>
      </c>
      <c r="H17" s="53" t="s">
        <v>996</v>
      </c>
      <c r="I17" s="53" t="s">
        <v>1077</v>
      </c>
      <c r="J17" s="53" t="s">
        <v>15</v>
      </c>
      <c r="K17" s="55">
        <v>44959.0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</row>
    <row r="18">
      <c r="A18" s="1" t="s">
        <v>895</v>
      </c>
      <c r="B18" s="1">
        <v>10.0</v>
      </c>
      <c r="C18" s="37">
        <v>0.0</v>
      </c>
      <c r="E18" s="1" t="s">
        <v>105</v>
      </c>
      <c r="F18" s="1" t="s">
        <v>107</v>
      </c>
      <c r="G18" s="1" t="s">
        <v>98</v>
      </c>
      <c r="H18" s="1" t="s">
        <v>109</v>
      </c>
      <c r="I18" s="1" t="s">
        <v>100</v>
      </c>
      <c r="J18" s="1" t="s">
        <v>28</v>
      </c>
    </row>
    <row r="19">
      <c r="A19" s="53" t="s">
        <v>1078</v>
      </c>
      <c r="B19" s="53">
        <v>10.0</v>
      </c>
      <c r="C19" s="54">
        <v>657.0</v>
      </c>
      <c r="D19" s="46"/>
      <c r="E19" s="53" t="s">
        <v>105</v>
      </c>
      <c r="F19" s="53" t="s">
        <v>107</v>
      </c>
      <c r="G19" s="53" t="s">
        <v>98</v>
      </c>
      <c r="H19" s="46"/>
      <c r="I19" s="46"/>
      <c r="J19" s="53" t="s">
        <v>35</v>
      </c>
      <c r="K19" s="55">
        <v>44988.0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</row>
    <row r="20">
      <c r="A20" s="1" t="s">
        <v>1079</v>
      </c>
      <c r="C20" s="37">
        <v>193.0</v>
      </c>
      <c r="D20" s="1" t="s">
        <v>1080</v>
      </c>
      <c r="E20" s="1" t="s">
        <v>49</v>
      </c>
      <c r="J20" s="1" t="s">
        <v>38</v>
      </c>
    </row>
    <row r="21">
      <c r="A21" s="1" t="s">
        <v>1081</v>
      </c>
      <c r="C21" s="37">
        <v>0.0</v>
      </c>
      <c r="D21" s="1" t="s">
        <v>1082</v>
      </c>
    </row>
    <row r="22">
      <c r="A22" s="1" t="s">
        <v>1083</v>
      </c>
      <c r="C22" s="37">
        <v>64.9</v>
      </c>
      <c r="D22" s="1" t="s">
        <v>1084</v>
      </c>
      <c r="E22" s="1" t="s">
        <v>49</v>
      </c>
      <c r="J22" s="1" t="s">
        <v>37</v>
      </c>
    </row>
    <row r="23">
      <c r="A23" s="1" t="s">
        <v>1085</v>
      </c>
      <c r="C23" s="37">
        <v>0.0</v>
      </c>
      <c r="D23" s="1" t="s">
        <v>1086</v>
      </c>
    </row>
    <row r="24">
      <c r="A24" s="1" t="s">
        <v>1087</v>
      </c>
      <c r="C24" s="37">
        <v>0.0</v>
      </c>
      <c r="D24" s="1" t="s">
        <v>1088</v>
      </c>
    </row>
    <row r="25">
      <c r="A25" s="1" t="s">
        <v>1089</v>
      </c>
      <c r="C25" s="37">
        <v>0.0</v>
      </c>
      <c r="D25" s="1" t="s">
        <v>1090</v>
      </c>
    </row>
    <row r="26">
      <c r="A26" s="1" t="s">
        <v>1091</v>
      </c>
      <c r="C26" s="37">
        <v>119.96</v>
      </c>
      <c r="D26" s="1"/>
      <c r="E26" s="53" t="s">
        <v>105</v>
      </c>
      <c r="H26" s="1" t="s">
        <v>99</v>
      </c>
      <c r="I26" s="1" t="s">
        <v>100</v>
      </c>
      <c r="J26" s="1" t="s">
        <v>1033</v>
      </c>
    </row>
    <row r="27">
      <c r="A27" s="1" t="s">
        <v>165</v>
      </c>
      <c r="C27" s="37">
        <v>33.25</v>
      </c>
      <c r="D27" s="1"/>
      <c r="E27" s="53" t="s">
        <v>105</v>
      </c>
      <c r="H27" s="1" t="s">
        <v>109</v>
      </c>
      <c r="I27" s="1" t="s">
        <v>100</v>
      </c>
      <c r="J27" s="1" t="s">
        <v>29</v>
      </c>
    </row>
    <row r="28">
      <c r="A28" s="1" t="s">
        <v>1092</v>
      </c>
      <c r="C28" s="37">
        <v>48.1</v>
      </c>
      <c r="D28" s="1"/>
      <c r="E28" s="53" t="s">
        <v>105</v>
      </c>
      <c r="H28" s="1" t="s">
        <v>109</v>
      </c>
      <c r="I28" s="1" t="s">
        <v>100</v>
      </c>
      <c r="J28" s="1" t="s">
        <v>28</v>
      </c>
    </row>
    <row r="29">
      <c r="A29" s="1" t="s">
        <v>1093</v>
      </c>
      <c r="C29" s="1">
        <v>32.2</v>
      </c>
      <c r="E29" s="53" t="s">
        <v>105</v>
      </c>
      <c r="H29" s="1" t="s">
        <v>32</v>
      </c>
      <c r="I29" s="1" t="s">
        <v>1077</v>
      </c>
      <c r="J29" s="1" t="s">
        <v>33</v>
      </c>
    </row>
    <row r="30">
      <c r="A30" s="1" t="s">
        <v>642</v>
      </c>
      <c r="C30" s="1">
        <v>120.73</v>
      </c>
      <c r="E30" s="53" t="s">
        <v>105</v>
      </c>
      <c r="H30" s="1" t="s">
        <v>109</v>
      </c>
      <c r="I30" s="1" t="s">
        <v>100</v>
      </c>
      <c r="J30" s="1" t="s">
        <v>29</v>
      </c>
    </row>
    <row r="31">
      <c r="A31" s="1" t="s">
        <v>1091</v>
      </c>
      <c r="C31" s="1">
        <v>154.96</v>
      </c>
      <c r="E31" s="53" t="s">
        <v>105</v>
      </c>
      <c r="H31" s="1" t="s">
        <v>99</v>
      </c>
      <c r="I31" s="1" t="s">
        <v>100</v>
      </c>
      <c r="J31" s="1" t="s">
        <v>1033</v>
      </c>
    </row>
    <row r="32">
      <c r="A32" s="1" t="s">
        <v>1027</v>
      </c>
      <c r="C32" s="1">
        <v>90.7</v>
      </c>
      <c r="E32" s="53" t="s">
        <v>105</v>
      </c>
      <c r="H32" s="1" t="s">
        <v>996</v>
      </c>
      <c r="I32" s="1" t="s">
        <v>1094</v>
      </c>
      <c r="J32" s="1" t="s">
        <v>996</v>
      </c>
    </row>
    <row r="33">
      <c r="A33" s="1" t="s">
        <v>1095</v>
      </c>
      <c r="C33" s="1">
        <v>55.61</v>
      </c>
      <c r="E33" s="53" t="s">
        <v>105</v>
      </c>
      <c r="H33" s="1" t="s">
        <v>127</v>
      </c>
      <c r="J33" s="1" t="s">
        <v>18</v>
      </c>
    </row>
    <row r="34">
      <c r="A34" s="1" t="s">
        <v>563</v>
      </c>
      <c r="C34" s="1">
        <v>22.46</v>
      </c>
      <c r="E34" s="53" t="s">
        <v>105</v>
      </c>
      <c r="H34" s="1" t="s">
        <v>109</v>
      </c>
      <c r="I34" s="1" t="s">
        <v>100</v>
      </c>
      <c r="J34" s="1" t="s">
        <v>24</v>
      </c>
      <c r="K34" s="1" t="s">
        <v>51</v>
      </c>
      <c r="L34" s="1" t="s">
        <v>51</v>
      </c>
    </row>
    <row r="35">
      <c r="A35" s="1" t="s">
        <v>1096</v>
      </c>
      <c r="C35" s="1">
        <v>15.5</v>
      </c>
      <c r="E35" s="53" t="s">
        <v>105</v>
      </c>
      <c r="H35" s="1" t="s">
        <v>996</v>
      </c>
      <c r="I35" s="1" t="s">
        <v>1077</v>
      </c>
      <c r="J35" s="1" t="s">
        <v>996</v>
      </c>
    </row>
    <row r="36">
      <c r="A36" s="1" t="s">
        <v>1097</v>
      </c>
      <c r="B36" s="1">
        <v>1.0</v>
      </c>
      <c r="C36" s="1">
        <v>80.0</v>
      </c>
      <c r="E36" s="53" t="s">
        <v>105</v>
      </c>
      <c r="H36" s="1" t="s">
        <v>99</v>
      </c>
      <c r="I36" s="1" t="s">
        <v>100</v>
      </c>
      <c r="J36" s="1" t="s">
        <v>35</v>
      </c>
    </row>
    <row r="37">
      <c r="A37" s="1" t="s">
        <v>1098</v>
      </c>
      <c r="C37" s="1">
        <v>25.58</v>
      </c>
      <c r="E37" s="53" t="s">
        <v>105</v>
      </c>
      <c r="H37" s="1" t="s">
        <v>127</v>
      </c>
      <c r="J37" s="1" t="s">
        <v>18</v>
      </c>
    </row>
    <row r="38">
      <c r="A38" s="1" t="s">
        <v>1099</v>
      </c>
      <c r="C38" s="1">
        <v>25.0</v>
      </c>
      <c r="E38" s="53" t="s">
        <v>105</v>
      </c>
      <c r="H38" s="1" t="s">
        <v>1100</v>
      </c>
      <c r="I38" s="1" t="s">
        <v>100</v>
      </c>
      <c r="J38" s="1" t="s">
        <v>1002</v>
      </c>
    </row>
    <row r="39">
      <c r="A39" s="1" t="s">
        <v>1101</v>
      </c>
      <c r="C39" s="1">
        <v>13.92</v>
      </c>
      <c r="E39" s="53" t="s">
        <v>105</v>
      </c>
      <c r="H39" s="1" t="s">
        <v>32</v>
      </c>
      <c r="I39" s="1" t="s">
        <v>1077</v>
      </c>
      <c r="J39" s="1" t="s">
        <v>33</v>
      </c>
    </row>
    <row r="40">
      <c r="A40" s="1" t="s">
        <v>1102</v>
      </c>
      <c r="C40" s="1">
        <v>49.4</v>
      </c>
      <c r="E40" s="53" t="s">
        <v>105</v>
      </c>
      <c r="H40" s="1" t="s">
        <v>32</v>
      </c>
      <c r="I40" s="1" t="s">
        <v>1077</v>
      </c>
      <c r="J40" s="1" t="s">
        <v>33</v>
      </c>
    </row>
    <row r="41">
      <c r="A41" s="1" t="s">
        <v>1103</v>
      </c>
      <c r="C41" s="1">
        <v>9.5</v>
      </c>
      <c r="E41" s="53" t="s">
        <v>105</v>
      </c>
      <c r="H41" s="1" t="s">
        <v>32</v>
      </c>
      <c r="I41" s="1" t="s">
        <v>1077</v>
      </c>
      <c r="J41" s="1" t="s">
        <v>33</v>
      </c>
    </row>
    <row r="42">
      <c r="A42" s="1" t="s">
        <v>1104</v>
      </c>
      <c r="C42" s="1">
        <v>52.83</v>
      </c>
      <c r="E42" s="53" t="s">
        <v>105</v>
      </c>
      <c r="H42" s="1" t="s">
        <v>127</v>
      </c>
      <c r="J42" s="1" t="s">
        <v>18</v>
      </c>
    </row>
    <row r="43">
      <c r="A43" s="1" t="s">
        <v>1105</v>
      </c>
      <c r="C43" s="1">
        <v>22.9</v>
      </c>
      <c r="E43" s="53" t="s">
        <v>105</v>
      </c>
      <c r="H43" s="1" t="s">
        <v>32</v>
      </c>
      <c r="I43" s="1" t="s">
        <v>1077</v>
      </c>
      <c r="J43" s="1" t="s">
        <v>33</v>
      </c>
    </row>
    <row r="44">
      <c r="A44" s="1" t="s">
        <v>1106</v>
      </c>
      <c r="C44" s="1">
        <v>301.62</v>
      </c>
      <c r="E44" s="53" t="s">
        <v>105</v>
      </c>
      <c r="H44" s="1" t="s">
        <v>996</v>
      </c>
      <c r="I44" s="1" t="s">
        <v>1077</v>
      </c>
      <c r="J44" s="1" t="s">
        <v>996</v>
      </c>
    </row>
    <row r="45">
      <c r="A45" s="1" t="s">
        <v>1107</v>
      </c>
      <c r="C45" s="1">
        <v>150.0</v>
      </c>
      <c r="E45" s="53" t="s">
        <v>105</v>
      </c>
      <c r="H45" s="1" t="s">
        <v>109</v>
      </c>
      <c r="I45" s="1" t="s">
        <v>100</v>
      </c>
      <c r="J45" s="1" t="s">
        <v>28</v>
      </c>
    </row>
    <row r="46">
      <c r="A46" s="1" t="s">
        <v>1056</v>
      </c>
      <c r="C46" s="1">
        <v>20.0</v>
      </c>
      <c r="E46" s="53" t="s">
        <v>105</v>
      </c>
      <c r="H46" s="1" t="s">
        <v>127</v>
      </c>
      <c r="J46" s="1" t="s">
        <v>18</v>
      </c>
    </row>
    <row r="47">
      <c r="A47" s="1" t="s">
        <v>152</v>
      </c>
      <c r="C47" s="1">
        <v>193.35</v>
      </c>
      <c r="E47" s="53" t="s">
        <v>105</v>
      </c>
      <c r="H47" s="1" t="s">
        <v>109</v>
      </c>
      <c r="I47" s="1" t="s">
        <v>100</v>
      </c>
      <c r="J47" s="1" t="s">
        <v>28</v>
      </c>
    </row>
    <row r="48">
      <c r="A48" s="1" t="s">
        <v>1108</v>
      </c>
      <c r="C48" s="1">
        <v>41.99</v>
      </c>
      <c r="E48" s="53" t="s">
        <v>105</v>
      </c>
      <c r="H48" s="1" t="s">
        <v>1100</v>
      </c>
      <c r="I48" s="1" t="s">
        <v>100</v>
      </c>
      <c r="J48" s="1" t="s">
        <v>1002</v>
      </c>
    </row>
    <row r="49">
      <c r="A49" s="1" t="s">
        <v>161</v>
      </c>
      <c r="C49" s="1">
        <v>147.99</v>
      </c>
      <c r="E49" s="53" t="s">
        <v>105</v>
      </c>
      <c r="H49" s="1" t="s">
        <v>109</v>
      </c>
      <c r="I49" s="1" t="s">
        <v>100</v>
      </c>
      <c r="J49" s="1" t="s">
        <v>29</v>
      </c>
    </row>
    <row r="50">
      <c r="A50" s="1" t="s">
        <v>1109</v>
      </c>
      <c r="C50" s="1">
        <v>9.95</v>
      </c>
      <c r="E50" s="53" t="s">
        <v>105</v>
      </c>
      <c r="H50" s="1" t="s">
        <v>127</v>
      </c>
      <c r="J50" s="1" t="s">
        <v>18</v>
      </c>
    </row>
    <row r="51">
      <c r="A51" s="1" t="s">
        <v>1110</v>
      </c>
      <c r="C51" s="14">
        <f>12.97+12.95</f>
        <v>25.92</v>
      </c>
      <c r="E51" s="53" t="s">
        <v>117</v>
      </c>
      <c r="H51" s="1" t="s">
        <v>127</v>
      </c>
      <c r="J51" s="1" t="s">
        <v>1111</v>
      </c>
    </row>
    <row r="52">
      <c r="A52" s="1" t="s">
        <v>1112</v>
      </c>
      <c r="B52" s="1">
        <v>17.0</v>
      </c>
      <c r="C52" s="14">
        <f>241.2*3</f>
        <v>723.6</v>
      </c>
      <c r="E52" s="53" t="s">
        <v>117</v>
      </c>
      <c r="H52" s="1" t="s">
        <v>109</v>
      </c>
      <c r="I52" s="1" t="s">
        <v>100</v>
      </c>
      <c r="J52" s="1" t="s">
        <v>28</v>
      </c>
    </row>
    <row r="53">
      <c r="A53" s="1" t="s">
        <v>1113</v>
      </c>
      <c r="C53" s="1">
        <v>36.0</v>
      </c>
      <c r="E53" s="53" t="s">
        <v>117</v>
      </c>
      <c r="H53" s="1" t="s">
        <v>996</v>
      </c>
      <c r="I53" s="1" t="s">
        <v>1077</v>
      </c>
      <c r="J53" s="1" t="s">
        <v>996</v>
      </c>
    </row>
    <row r="54">
      <c r="A54" s="1" t="s">
        <v>937</v>
      </c>
      <c r="B54" s="1">
        <v>17.0</v>
      </c>
      <c r="C54" s="1">
        <v>20.0</v>
      </c>
      <c r="E54" s="53" t="s">
        <v>117</v>
      </c>
      <c r="H54" s="1" t="s">
        <v>127</v>
      </c>
      <c r="J54" s="1" t="s">
        <v>18</v>
      </c>
    </row>
    <row r="55">
      <c r="A55" s="1" t="s">
        <v>1114</v>
      </c>
      <c r="B55" s="1">
        <v>18.0</v>
      </c>
      <c r="C55" s="1">
        <v>21.27</v>
      </c>
      <c r="E55" s="53" t="s">
        <v>117</v>
      </c>
      <c r="H55" s="1" t="s">
        <v>109</v>
      </c>
      <c r="I55" s="1" t="s">
        <v>100</v>
      </c>
      <c r="J55" s="1" t="s">
        <v>29</v>
      </c>
    </row>
    <row r="56">
      <c r="A56" s="1" t="s">
        <v>1115</v>
      </c>
      <c r="B56" s="1">
        <v>18.0</v>
      </c>
      <c r="C56" s="1">
        <v>14.06</v>
      </c>
      <c r="E56" s="53" t="s">
        <v>117</v>
      </c>
      <c r="H56" s="1" t="s">
        <v>109</v>
      </c>
      <c r="I56" s="1" t="s">
        <v>100</v>
      </c>
      <c r="J56" s="1" t="s">
        <v>29</v>
      </c>
    </row>
    <row r="57">
      <c r="A57" s="1" t="s">
        <v>1109</v>
      </c>
      <c r="B57" s="1">
        <v>18.0</v>
      </c>
      <c r="C57" s="1">
        <v>4.29</v>
      </c>
      <c r="E57" s="53" t="s">
        <v>117</v>
      </c>
      <c r="H57" s="1" t="s">
        <v>127</v>
      </c>
      <c r="J57" s="1" t="s">
        <v>18</v>
      </c>
    </row>
    <row r="58">
      <c r="A58" s="1" t="s">
        <v>1030</v>
      </c>
      <c r="B58" s="1">
        <v>18.0</v>
      </c>
      <c r="C58" s="1">
        <v>11.15</v>
      </c>
      <c r="E58" s="53" t="s">
        <v>117</v>
      </c>
      <c r="H58" s="1" t="s">
        <v>32</v>
      </c>
      <c r="I58" s="1" t="s">
        <v>1077</v>
      </c>
      <c r="J58" s="1" t="s">
        <v>33</v>
      </c>
    </row>
    <row r="59">
      <c r="A59" s="1" t="s">
        <v>642</v>
      </c>
      <c r="B59" s="1">
        <v>18.0</v>
      </c>
      <c r="C59" s="1">
        <v>112.74</v>
      </c>
      <c r="E59" s="53" t="s">
        <v>117</v>
      </c>
      <c r="H59" s="1" t="s">
        <v>109</v>
      </c>
      <c r="I59" s="1" t="s">
        <v>100</v>
      </c>
      <c r="J59" s="1" t="s">
        <v>29</v>
      </c>
    </row>
    <row r="60">
      <c r="A60" s="1" t="s">
        <v>1110</v>
      </c>
      <c r="B60" s="1">
        <v>20.0</v>
      </c>
      <c r="C60" s="1">
        <v>5.0</v>
      </c>
      <c r="E60" s="53" t="s">
        <v>117</v>
      </c>
      <c r="H60" s="1" t="s">
        <v>127</v>
      </c>
      <c r="J60" s="1" t="s">
        <v>1111</v>
      </c>
    </row>
    <row r="61">
      <c r="A61" s="1" t="s">
        <v>779</v>
      </c>
      <c r="B61" s="1">
        <v>21.0</v>
      </c>
      <c r="C61" s="1">
        <v>20.7</v>
      </c>
      <c r="E61" s="53" t="s">
        <v>117</v>
      </c>
      <c r="H61" s="1" t="s">
        <v>109</v>
      </c>
      <c r="I61" s="1" t="s">
        <v>100</v>
      </c>
      <c r="J61" s="1" t="s">
        <v>29</v>
      </c>
    </row>
    <row r="62">
      <c r="A62" s="1" t="s">
        <v>1110</v>
      </c>
      <c r="B62" s="1">
        <v>21.0</v>
      </c>
      <c r="C62" s="1">
        <v>9.91</v>
      </c>
      <c r="E62" s="53" t="s">
        <v>117</v>
      </c>
      <c r="H62" s="1" t="s">
        <v>127</v>
      </c>
      <c r="J62" s="1" t="s">
        <v>1111</v>
      </c>
    </row>
    <row r="63">
      <c r="A63" s="1" t="s">
        <v>642</v>
      </c>
      <c r="B63" s="1">
        <v>23.0</v>
      </c>
      <c r="C63" s="1">
        <v>128.2</v>
      </c>
      <c r="E63" s="53" t="s">
        <v>117</v>
      </c>
      <c r="H63" s="1" t="s">
        <v>109</v>
      </c>
      <c r="I63" s="1" t="s">
        <v>100</v>
      </c>
      <c r="J63" s="1" t="s">
        <v>29</v>
      </c>
    </row>
    <row r="64">
      <c r="A64" s="1" t="s">
        <v>1098</v>
      </c>
      <c r="B64" s="1">
        <v>23.0</v>
      </c>
      <c r="C64" s="1">
        <v>20.0</v>
      </c>
      <c r="E64" s="53" t="s">
        <v>117</v>
      </c>
      <c r="H64" s="1" t="s">
        <v>127</v>
      </c>
      <c r="J64" s="1" t="s">
        <v>18</v>
      </c>
    </row>
    <row r="65">
      <c r="A65" s="1" t="s">
        <v>1116</v>
      </c>
      <c r="B65" s="1">
        <v>23.0</v>
      </c>
      <c r="C65" s="1">
        <v>43.37</v>
      </c>
      <c r="E65" s="53" t="s">
        <v>117</v>
      </c>
      <c r="H65" s="1" t="s">
        <v>1100</v>
      </c>
      <c r="I65" s="1" t="s">
        <v>100</v>
      </c>
      <c r="J65" s="1" t="s">
        <v>1002</v>
      </c>
    </row>
    <row r="66">
      <c r="A66" s="1" t="s">
        <v>1114</v>
      </c>
      <c r="B66" s="1">
        <v>25.0</v>
      </c>
      <c r="C66" s="1">
        <v>41.37</v>
      </c>
      <c r="E66" s="53" t="s">
        <v>117</v>
      </c>
      <c r="H66" s="1" t="s">
        <v>109</v>
      </c>
      <c r="I66" s="1" t="s">
        <v>100</v>
      </c>
      <c r="J66" s="1" t="s">
        <v>29</v>
      </c>
    </row>
    <row r="67">
      <c r="A67" s="1" t="s">
        <v>1117</v>
      </c>
      <c r="B67" s="1">
        <v>26.0</v>
      </c>
      <c r="C67" s="1">
        <v>285.65</v>
      </c>
      <c r="E67" s="53" t="s">
        <v>117</v>
      </c>
      <c r="H67" s="1" t="s">
        <v>109</v>
      </c>
      <c r="I67" s="1" t="s">
        <v>100</v>
      </c>
      <c r="J67" s="1" t="s">
        <v>29</v>
      </c>
    </row>
    <row r="68">
      <c r="A68" s="1" t="s">
        <v>642</v>
      </c>
      <c r="B68" s="1">
        <v>27.0</v>
      </c>
      <c r="C68" s="1">
        <v>99.51</v>
      </c>
      <c r="E68" s="53" t="s">
        <v>117</v>
      </c>
      <c r="H68" s="1" t="s">
        <v>109</v>
      </c>
      <c r="I68" s="1" t="s">
        <v>100</v>
      </c>
      <c r="J68" s="1" t="s">
        <v>29</v>
      </c>
    </row>
    <row r="69">
      <c r="A69" s="1" t="s">
        <v>1118</v>
      </c>
      <c r="B69" s="1">
        <v>27.0</v>
      </c>
      <c r="C69" s="1">
        <v>39.96</v>
      </c>
      <c r="E69" s="53" t="s">
        <v>117</v>
      </c>
      <c r="H69" s="1" t="s">
        <v>1100</v>
      </c>
      <c r="I69" s="1" t="s">
        <v>100</v>
      </c>
      <c r="J69" s="1" t="s">
        <v>1002</v>
      </c>
    </row>
    <row r="70">
      <c r="A70" s="1" t="s">
        <v>563</v>
      </c>
      <c r="B70" s="1">
        <v>31.0</v>
      </c>
      <c r="C70" s="1">
        <v>11.86</v>
      </c>
      <c r="E70" s="53" t="s">
        <v>117</v>
      </c>
      <c r="H70" s="1" t="s">
        <v>109</v>
      </c>
      <c r="I70" s="1" t="s">
        <v>100</v>
      </c>
      <c r="J70" s="1" t="s">
        <v>24</v>
      </c>
    </row>
    <row r="71">
      <c r="A71" s="1" t="s">
        <v>1119</v>
      </c>
      <c r="B71" s="1"/>
      <c r="C71" s="1">
        <v>500.0</v>
      </c>
      <c r="E71" s="53" t="s">
        <v>156</v>
      </c>
      <c r="H71" s="1" t="s">
        <v>127</v>
      </c>
      <c r="I71" s="1"/>
      <c r="J71" s="1" t="s">
        <v>38</v>
      </c>
    </row>
    <row r="72">
      <c r="A72" s="1" t="s">
        <v>1120</v>
      </c>
      <c r="B72" s="1">
        <v>30.0</v>
      </c>
      <c r="C72" s="1">
        <v>20.0</v>
      </c>
      <c r="E72" s="53" t="s">
        <v>117</v>
      </c>
      <c r="H72" s="1" t="s">
        <v>127</v>
      </c>
      <c r="J72" s="1" t="s">
        <v>612</v>
      </c>
    </row>
    <row r="74">
      <c r="A74" s="1" t="s">
        <v>236</v>
      </c>
      <c r="C74" s="14">
        <f>8892.02*0.3-(633.9)</f>
        <v>2033.706</v>
      </c>
    </row>
    <row r="75">
      <c r="A75" s="1" t="s">
        <v>50</v>
      </c>
      <c r="C75" s="8">
        <f>SUM(C2:C72)</f>
        <v>7758.39</v>
      </c>
      <c r="D75" s="8">
        <f>8892.02-C75-C74</f>
        <v>-900.076</v>
      </c>
      <c r="M75" s="14">
        <f>1400</f>
        <v>1400</v>
      </c>
      <c r="N75" s="14">
        <f>4*M75</f>
        <v>5600</v>
      </c>
    </row>
    <row r="76">
      <c r="M76" s="14">
        <f>M75/3</f>
        <v>466.6666667</v>
      </c>
    </row>
    <row r="77">
      <c r="K77" s="1" t="s">
        <v>1121</v>
      </c>
      <c r="M77" s="14">
        <f>M75/2</f>
        <v>700</v>
      </c>
    </row>
    <row r="78">
      <c r="I78" s="1" t="s">
        <v>1122</v>
      </c>
      <c r="J78" s="22">
        <v>943.23</v>
      </c>
      <c r="K78" s="22">
        <v>2987.48</v>
      </c>
      <c r="M78" s="14">
        <f>M77-M76</f>
        <v>233.3333333</v>
      </c>
    </row>
    <row r="79">
      <c r="I79" s="1" t="s">
        <v>1123</v>
      </c>
      <c r="J79" s="22">
        <v>24.2</v>
      </c>
      <c r="K79" s="22">
        <v>2020.99</v>
      </c>
    </row>
    <row r="80">
      <c r="I80" s="1" t="s">
        <v>757</v>
      </c>
      <c r="J80" s="8">
        <f>8.36+15086.18</f>
        <v>15094.54</v>
      </c>
      <c r="K80" s="8"/>
    </row>
    <row r="81">
      <c r="I81" s="1" t="s">
        <v>1124</v>
      </c>
      <c r="J81" s="8">
        <f>33195.89</f>
        <v>33195.89</v>
      </c>
      <c r="K81" s="8"/>
    </row>
    <row r="82">
      <c r="I82" s="1" t="s">
        <v>81</v>
      </c>
      <c r="J82" s="8">
        <f>5373.79</f>
        <v>5373.79</v>
      </c>
      <c r="K82" s="8"/>
    </row>
    <row r="83">
      <c r="I83" s="1" t="s">
        <v>1125</v>
      </c>
      <c r="J83" s="8">
        <f>47000</f>
        <v>47000</v>
      </c>
      <c r="K83" s="8"/>
    </row>
    <row r="84"/>
    <row r="85">
      <c r="J85" s="8">
        <f>SUM(J78:J83)</f>
        <v>101631.65</v>
      </c>
    </row>
    <row r="86"/>
    <row r="87">
      <c r="I87" s="1" t="s">
        <v>1126</v>
      </c>
      <c r="J87" s="8">
        <f>J85-(sum(K78:K83))</f>
        <v>96623.18</v>
      </c>
    </row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30">
      <c r="A130" s="14" t="s">
        <v>87</v>
      </c>
      <c r="B130" s="14" t="s">
        <v>237</v>
      </c>
    </row>
    <row r="131">
      <c r="A131" s="14"/>
      <c r="B131" s="8">
        <v>0.0</v>
      </c>
    </row>
    <row r="132">
      <c r="A132" s="14" t="s">
        <v>49</v>
      </c>
      <c r="B132" s="8">
        <v>1954.9</v>
      </c>
    </row>
    <row r="133">
      <c r="A133" s="14" t="s">
        <v>105</v>
      </c>
      <c r="B133" s="8">
        <v>2987.49</v>
      </c>
    </row>
    <row r="134">
      <c r="A134" s="14" t="s">
        <v>114</v>
      </c>
      <c r="B134" s="8">
        <v>99.0</v>
      </c>
    </row>
    <row r="135">
      <c r="A135" s="14" t="s">
        <v>117</v>
      </c>
      <c r="B135" s="8">
        <v>2217.0000000000005</v>
      </c>
    </row>
    <row r="136">
      <c r="A136" s="14" t="s">
        <v>156</v>
      </c>
      <c r="B136" s="14">
        <v>500.0</v>
      </c>
    </row>
    <row r="137">
      <c r="A137" s="14" t="s">
        <v>238</v>
      </c>
      <c r="B137" s="8">
        <v>7758.389999999998</v>
      </c>
    </row>
  </sheetData>
  <autoFilter ref="$A$1:$BV$72"/>
  <drawing r:id="rId4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</row>
    <row r="2">
      <c r="A2" s="1" t="s">
        <v>95</v>
      </c>
      <c r="B2" s="1">
        <v>5.0</v>
      </c>
      <c r="C2" s="37">
        <v>605.99</v>
      </c>
      <c r="D2" s="1" t="s">
        <v>1127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</row>
    <row r="3">
      <c r="A3" s="1" t="s">
        <v>102</v>
      </c>
      <c r="B3" s="1">
        <v>7.0</v>
      </c>
      <c r="C3" s="37">
        <v>1309.0</v>
      </c>
      <c r="D3" s="1" t="s">
        <v>1127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</row>
    <row r="4">
      <c r="A4" s="1" t="s">
        <v>609</v>
      </c>
      <c r="B4" s="1">
        <v>26.0</v>
      </c>
      <c r="C4" s="37">
        <v>883.0</v>
      </c>
      <c r="D4" s="1" t="s">
        <v>1127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</row>
    <row r="5">
      <c r="A5" s="1" t="s">
        <v>106</v>
      </c>
      <c r="B5" s="1">
        <v>14.0</v>
      </c>
      <c r="C5" s="37">
        <v>510.0</v>
      </c>
      <c r="D5" s="1" t="s">
        <v>112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</row>
    <row r="6">
      <c r="A6" s="1" t="s">
        <v>111</v>
      </c>
      <c r="B6" s="1">
        <v>11.0</v>
      </c>
      <c r="C6" s="37">
        <v>104.0</v>
      </c>
      <c r="D6" s="1" t="s">
        <v>1127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</row>
    <row r="7">
      <c r="A7" s="1" t="s">
        <v>610</v>
      </c>
      <c r="B7" s="1">
        <v>20.0</v>
      </c>
      <c r="C7" s="37">
        <v>99.0</v>
      </c>
      <c r="D7" s="1" t="s">
        <v>112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</row>
    <row r="8">
      <c r="A8" s="1" t="s">
        <v>116</v>
      </c>
      <c r="B8" s="1">
        <v>30.0</v>
      </c>
      <c r="C8" s="37">
        <v>13.95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I8" s="1" t="s">
        <v>100</v>
      </c>
      <c r="J8" s="1" t="s">
        <v>17</v>
      </c>
      <c r="L8" s="1" t="s">
        <v>101</v>
      </c>
    </row>
    <row r="9">
      <c r="A9" s="1" t="s">
        <v>121</v>
      </c>
      <c r="B9" s="1">
        <v>29.0</v>
      </c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I9" s="1" t="s">
        <v>100</v>
      </c>
      <c r="J9" s="1" t="s">
        <v>17</v>
      </c>
      <c r="L9" s="1" t="s">
        <v>101</v>
      </c>
    </row>
    <row r="10">
      <c r="A10" s="1" t="s">
        <v>122</v>
      </c>
      <c r="B10" s="1">
        <v>2.0</v>
      </c>
      <c r="C10" s="37">
        <v>9.9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I10" s="1" t="s">
        <v>100</v>
      </c>
      <c r="J10" s="1" t="s">
        <v>17</v>
      </c>
      <c r="L10" s="1" t="s">
        <v>101</v>
      </c>
    </row>
    <row r="11">
      <c r="A11" s="1" t="s">
        <v>123</v>
      </c>
      <c r="B11" s="1">
        <v>15.0</v>
      </c>
      <c r="C11" s="37">
        <v>89.9</v>
      </c>
      <c r="D11" s="1" t="s">
        <v>112</v>
      </c>
      <c r="E11" s="1" t="s">
        <v>117</v>
      </c>
      <c r="F11" s="1" t="s">
        <v>115</v>
      </c>
      <c r="G11" s="1" t="s">
        <v>118</v>
      </c>
      <c r="H11" s="1" t="s">
        <v>99</v>
      </c>
      <c r="I11" s="1" t="s">
        <v>100</v>
      </c>
      <c r="J11" s="1" t="s">
        <v>19</v>
      </c>
      <c r="L11" s="1" t="s">
        <v>101</v>
      </c>
    </row>
    <row r="12">
      <c r="A12" s="1" t="s">
        <v>124</v>
      </c>
      <c r="B12" s="1">
        <v>8.0</v>
      </c>
      <c r="C12" s="37">
        <v>39.9</v>
      </c>
      <c r="D12" s="1" t="s">
        <v>112</v>
      </c>
      <c r="E12" s="1" t="s">
        <v>117</v>
      </c>
      <c r="F12" s="1" t="s">
        <v>107</v>
      </c>
      <c r="G12" s="1" t="s">
        <v>118</v>
      </c>
      <c r="H12" s="1" t="s">
        <v>109</v>
      </c>
      <c r="I12" s="1" t="s">
        <v>100</v>
      </c>
      <c r="J12" s="1" t="s">
        <v>17</v>
      </c>
      <c r="L12" s="1" t="s">
        <v>101</v>
      </c>
    </row>
    <row r="13">
      <c r="A13" s="1" t="s">
        <v>125</v>
      </c>
      <c r="B13" s="1">
        <v>15.0</v>
      </c>
      <c r="C13" s="37">
        <v>0.0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I13" s="1" t="s">
        <v>100</v>
      </c>
      <c r="J13" s="1" t="s">
        <v>17</v>
      </c>
      <c r="L13" s="1" t="s">
        <v>101</v>
      </c>
    </row>
    <row r="14">
      <c r="A14" s="1" t="s">
        <v>126</v>
      </c>
      <c r="B14" s="1">
        <v>27.0</v>
      </c>
      <c r="C14" s="37">
        <v>206.99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127</v>
      </c>
      <c r="I14" s="1" t="s">
        <v>100</v>
      </c>
      <c r="J14" s="1" t="s">
        <v>26</v>
      </c>
      <c r="L14" s="1" t="s">
        <v>101</v>
      </c>
    </row>
    <row r="15">
      <c r="A15" s="1" t="s">
        <v>128</v>
      </c>
      <c r="B15" s="1">
        <v>2.0</v>
      </c>
      <c r="C15" s="37">
        <v>37.9</v>
      </c>
      <c r="D15" s="1" t="s">
        <v>112</v>
      </c>
      <c r="E15" s="1" t="s">
        <v>117</v>
      </c>
      <c r="F15" s="1" t="s">
        <v>115</v>
      </c>
      <c r="G15" s="1" t="s">
        <v>118</v>
      </c>
      <c r="H15" s="1" t="s">
        <v>129</v>
      </c>
      <c r="I15" s="1" t="s">
        <v>129</v>
      </c>
      <c r="J15" s="1" t="s">
        <v>16</v>
      </c>
      <c r="K15" s="42">
        <v>44899.0</v>
      </c>
      <c r="L15" s="1" t="s">
        <v>101</v>
      </c>
    </row>
    <row r="16">
      <c r="A16" s="1" t="s">
        <v>130</v>
      </c>
      <c r="B16" s="1">
        <v>27.0</v>
      </c>
      <c r="C16" s="37">
        <v>109.0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99</v>
      </c>
      <c r="I16" s="1" t="s">
        <v>100</v>
      </c>
      <c r="J16" s="1" t="s">
        <v>23</v>
      </c>
      <c r="L16" s="1" t="s">
        <v>101</v>
      </c>
    </row>
    <row r="17">
      <c r="A17" s="1" t="s">
        <v>612</v>
      </c>
      <c r="B17" s="1">
        <v>1.0</v>
      </c>
      <c r="C17" s="37">
        <v>0.0</v>
      </c>
      <c r="D17" s="1" t="s">
        <v>112</v>
      </c>
      <c r="E17" s="1" t="s">
        <v>105</v>
      </c>
      <c r="F17" s="1" t="s">
        <v>107</v>
      </c>
      <c r="G17" s="1" t="s">
        <v>98</v>
      </c>
      <c r="H17" s="1" t="s">
        <v>127</v>
      </c>
      <c r="I17" s="1" t="s">
        <v>99</v>
      </c>
      <c r="J17" s="1" t="s">
        <v>18</v>
      </c>
    </row>
    <row r="18">
      <c r="A18" s="1" t="s">
        <v>1078</v>
      </c>
      <c r="B18" s="1">
        <v>10.0</v>
      </c>
      <c r="C18" s="37">
        <v>657.0</v>
      </c>
      <c r="D18" s="1" t="s">
        <v>112</v>
      </c>
      <c r="E18" s="1" t="s">
        <v>105</v>
      </c>
      <c r="F18" s="1" t="s">
        <v>107</v>
      </c>
      <c r="G18" s="1" t="s">
        <v>98</v>
      </c>
      <c r="H18" s="1" t="s">
        <v>99</v>
      </c>
      <c r="I18" s="1" t="s">
        <v>100</v>
      </c>
      <c r="J18" s="1" t="s">
        <v>35</v>
      </c>
      <c r="K18" s="42">
        <v>44987.0</v>
      </c>
    </row>
    <row r="19">
      <c r="A19" s="1" t="s">
        <v>1128</v>
      </c>
      <c r="B19" s="1">
        <v>8.0</v>
      </c>
      <c r="C19" s="37">
        <v>89.9</v>
      </c>
      <c r="D19" s="1" t="s">
        <v>112</v>
      </c>
      <c r="E19" s="1" t="s">
        <v>133</v>
      </c>
      <c r="F19" s="1" t="s">
        <v>97</v>
      </c>
      <c r="G19" s="1" t="s">
        <v>98</v>
      </c>
      <c r="H19" s="1" t="s">
        <v>99</v>
      </c>
      <c r="I19" s="1" t="s">
        <v>100</v>
      </c>
      <c r="J19" s="1" t="s">
        <v>35</v>
      </c>
    </row>
    <row r="20">
      <c r="A20" s="1" t="s">
        <v>1129</v>
      </c>
      <c r="B20" s="1">
        <v>8.0</v>
      </c>
      <c r="C20" s="37">
        <v>35.0</v>
      </c>
      <c r="D20" s="1" t="s">
        <v>112</v>
      </c>
      <c r="E20" s="1" t="s">
        <v>133</v>
      </c>
      <c r="F20" s="1" t="s">
        <v>107</v>
      </c>
      <c r="G20" s="1" t="s">
        <v>98</v>
      </c>
      <c r="H20" s="1" t="s">
        <v>32</v>
      </c>
      <c r="I20" s="1" t="s">
        <v>1077</v>
      </c>
      <c r="J20" s="1" t="s">
        <v>33</v>
      </c>
    </row>
    <row r="21">
      <c r="A21" s="1" t="s">
        <v>1130</v>
      </c>
      <c r="B21" s="1">
        <v>8.0</v>
      </c>
      <c r="C21" s="37">
        <v>58.8</v>
      </c>
      <c r="D21" s="1" t="s">
        <v>112</v>
      </c>
      <c r="E21" s="1" t="s">
        <v>105</v>
      </c>
      <c r="F21" s="1" t="s">
        <v>107</v>
      </c>
      <c r="G21" s="1" t="s">
        <v>98</v>
      </c>
      <c r="H21" s="1" t="s">
        <v>996</v>
      </c>
      <c r="I21" s="1" t="s">
        <v>1077</v>
      </c>
      <c r="J21" s="1" t="s">
        <v>996</v>
      </c>
    </row>
    <row r="22">
      <c r="A22" s="1" t="s">
        <v>1131</v>
      </c>
      <c r="B22" s="1">
        <v>8.0</v>
      </c>
      <c r="C22" s="37">
        <v>89.99</v>
      </c>
      <c r="D22" s="1" t="s">
        <v>112</v>
      </c>
      <c r="E22" s="1" t="s">
        <v>105</v>
      </c>
      <c r="F22" s="1" t="s">
        <v>97</v>
      </c>
      <c r="G22" s="1" t="s">
        <v>98</v>
      </c>
      <c r="H22" s="1" t="s">
        <v>99</v>
      </c>
      <c r="I22" s="1" t="s">
        <v>100</v>
      </c>
      <c r="J22" s="1" t="s">
        <v>1033</v>
      </c>
    </row>
    <row r="23">
      <c r="A23" s="1" t="s">
        <v>1132</v>
      </c>
      <c r="B23" s="1">
        <v>8.0</v>
      </c>
      <c r="C23" s="37">
        <v>30.9</v>
      </c>
      <c r="D23" s="1" t="s">
        <v>112</v>
      </c>
      <c r="E23" s="1" t="s">
        <v>105</v>
      </c>
      <c r="F23" s="1" t="s">
        <v>107</v>
      </c>
      <c r="G23" s="1" t="s">
        <v>98</v>
      </c>
      <c r="H23" s="1" t="s">
        <v>32</v>
      </c>
      <c r="I23" s="1" t="s">
        <v>1077</v>
      </c>
      <c r="J23" s="1" t="s">
        <v>33</v>
      </c>
    </row>
    <row r="24">
      <c r="A24" s="1" t="s">
        <v>1133</v>
      </c>
      <c r="B24" s="1">
        <v>7.0</v>
      </c>
      <c r="C24" s="37">
        <v>60.0</v>
      </c>
      <c r="D24" s="1" t="s">
        <v>112</v>
      </c>
      <c r="E24" s="1" t="s">
        <v>133</v>
      </c>
      <c r="F24" s="1" t="s">
        <v>97</v>
      </c>
      <c r="G24" s="1" t="s">
        <v>98</v>
      </c>
      <c r="H24" s="1" t="s">
        <v>99</v>
      </c>
      <c r="I24" s="1" t="s">
        <v>100</v>
      </c>
      <c r="J24" s="1" t="s">
        <v>35</v>
      </c>
    </row>
    <row r="25">
      <c r="A25" s="1" t="s">
        <v>1134</v>
      </c>
      <c r="B25" s="1">
        <v>6.0</v>
      </c>
      <c r="C25" s="37">
        <v>22.2</v>
      </c>
      <c r="D25" s="1" t="s">
        <v>112</v>
      </c>
      <c r="E25" s="1" t="s">
        <v>133</v>
      </c>
      <c r="F25" s="1" t="s">
        <v>97</v>
      </c>
      <c r="G25" s="1" t="s">
        <v>98</v>
      </c>
      <c r="H25" s="1" t="s">
        <v>99</v>
      </c>
      <c r="I25" s="1" t="s">
        <v>100</v>
      </c>
      <c r="J25" s="1" t="s">
        <v>35</v>
      </c>
    </row>
    <row r="26">
      <c r="A26" s="1" t="s">
        <v>291</v>
      </c>
      <c r="B26" s="1"/>
      <c r="C26" s="37">
        <v>365.46</v>
      </c>
      <c r="D26" s="1" t="s">
        <v>112</v>
      </c>
      <c r="E26" s="1" t="s">
        <v>105</v>
      </c>
      <c r="F26" s="1" t="s">
        <v>107</v>
      </c>
      <c r="G26" s="1" t="s">
        <v>98</v>
      </c>
      <c r="H26" s="1" t="s">
        <v>996</v>
      </c>
      <c r="I26" s="1" t="s">
        <v>1077</v>
      </c>
      <c r="J26" s="1" t="s">
        <v>996</v>
      </c>
    </row>
    <row r="27">
      <c r="A27" s="1" t="s">
        <v>1009</v>
      </c>
      <c r="B27" s="1">
        <v>5.0</v>
      </c>
      <c r="C27" s="37">
        <v>20.0</v>
      </c>
      <c r="D27" s="1" t="s">
        <v>112</v>
      </c>
      <c r="E27" s="1" t="s">
        <v>105</v>
      </c>
      <c r="F27" s="1" t="s">
        <v>107</v>
      </c>
      <c r="G27" s="1" t="s">
        <v>98</v>
      </c>
      <c r="H27" s="1" t="s">
        <v>127</v>
      </c>
      <c r="I27" s="1" t="s">
        <v>99</v>
      </c>
      <c r="J27" s="1" t="s">
        <v>18</v>
      </c>
    </row>
    <row r="28">
      <c r="A28" s="1" t="s">
        <v>891</v>
      </c>
      <c r="B28" s="1">
        <v>5.0</v>
      </c>
      <c r="C28" s="37">
        <v>38.0</v>
      </c>
      <c r="D28" s="1" t="s">
        <v>112</v>
      </c>
      <c r="E28" s="1" t="s">
        <v>105</v>
      </c>
      <c r="F28" s="1" t="s">
        <v>97</v>
      </c>
      <c r="G28" s="1" t="s">
        <v>98</v>
      </c>
      <c r="H28" s="1" t="s">
        <v>99</v>
      </c>
      <c r="I28" s="1" t="s">
        <v>100</v>
      </c>
      <c r="J28" s="1" t="s">
        <v>30</v>
      </c>
    </row>
    <row r="29">
      <c r="A29" s="1" t="s">
        <v>372</v>
      </c>
      <c r="B29" s="1">
        <v>1.0</v>
      </c>
      <c r="C29" s="37">
        <v>492.99</v>
      </c>
      <c r="D29" s="1" t="s">
        <v>112</v>
      </c>
      <c r="E29" s="1" t="s">
        <v>105</v>
      </c>
      <c r="F29" s="1" t="s">
        <v>115</v>
      </c>
      <c r="G29" s="1" t="s">
        <v>98</v>
      </c>
      <c r="H29" s="1" t="s">
        <v>996</v>
      </c>
      <c r="I29" s="1" t="s">
        <v>1077</v>
      </c>
      <c r="J29" s="1" t="s">
        <v>15</v>
      </c>
      <c r="K29" s="42">
        <v>44958.0</v>
      </c>
    </row>
    <row r="30">
      <c r="A30" s="1" t="s">
        <v>1135</v>
      </c>
      <c r="B30" s="1">
        <v>1.0</v>
      </c>
      <c r="C30" s="37">
        <v>59.99</v>
      </c>
      <c r="D30" s="1" t="s">
        <v>112</v>
      </c>
      <c r="E30" s="1" t="s">
        <v>105</v>
      </c>
      <c r="F30" s="1" t="s">
        <v>97</v>
      </c>
      <c r="G30" s="1" t="s">
        <v>98</v>
      </c>
      <c r="H30" s="1" t="s">
        <v>32</v>
      </c>
      <c r="I30" s="1" t="s">
        <v>1077</v>
      </c>
      <c r="J30" s="1" t="s">
        <v>33</v>
      </c>
    </row>
    <row r="31">
      <c r="A31" s="1" t="s">
        <v>1136</v>
      </c>
      <c r="B31" s="1">
        <v>1.0</v>
      </c>
      <c r="C31" s="37">
        <v>53.62</v>
      </c>
      <c r="D31" s="1" t="s">
        <v>112</v>
      </c>
      <c r="E31" s="1" t="s">
        <v>105</v>
      </c>
      <c r="F31" s="1" t="s">
        <v>107</v>
      </c>
      <c r="G31" s="1" t="s">
        <v>98</v>
      </c>
      <c r="H31" s="1" t="s">
        <v>127</v>
      </c>
      <c r="I31" s="1" t="s">
        <v>99</v>
      </c>
      <c r="J31" s="1" t="s">
        <v>18</v>
      </c>
    </row>
    <row r="32">
      <c r="A32" s="1" t="s">
        <v>1137</v>
      </c>
      <c r="B32" s="1">
        <v>1.0</v>
      </c>
      <c r="C32" s="37">
        <v>23.95</v>
      </c>
      <c r="D32" s="1" t="s">
        <v>112</v>
      </c>
      <c r="E32" s="1" t="s">
        <v>105</v>
      </c>
      <c r="F32" s="1" t="s">
        <v>107</v>
      </c>
      <c r="G32" s="1" t="s">
        <v>98</v>
      </c>
      <c r="H32" s="1" t="s">
        <v>32</v>
      </c>
      <c r="I32" s="1" t="s">
        <v>1077</v>
      </c>
      <c r="J32" s="1" t="s">
        <v>33</v>
      </c>
    </row>
    <row r="33">
      <c r="A33" s="1" t="s">
        <v>1138</v>
      </c>
      <c r="B33" s="1">
        <v>1.0</v>
      </c>
      <c r="C33" s="37">
        <v>30.39</v>
      </c>
      <c r="D33" s="1" t="s">
        <v>112</v>
      </c>
      <c r="E33" s="1" t="s">
        <v>105</v>
      </c>
      <c r="F33" s="1" t="s">
        <v>1139</v>
      </c>
      <c r="G33" s="1" t="s">
        <v>98</v>
      </c>
      <c r="H33" s="1" t="s">
        <v>109</v>
      </c>
      <c r="I33" s="1" t="s">
        <v>100</v>
      </c>
      <c r="J33" s="1" t="s">
        <v>28</v>
      </c>
    </row>
    <row r="34">
      <c r="A34" s="1" t="s">
        <v>965</v>
      </c>
      <c r="B34" s="1">
        <v>1.0</v>
      </c>
      <c r="C34" s="37">
        <v>267.9</v>
      </c>
      <c r="D34" s="1" t="s">
        <v>112</v>
      </c>
      <c r="E34" s="1" t="s">
        <v>105</v>
      </c>
      <c r="F34" s="1" t="s">
        <v>1139</v>
      </c>
      <c r="G34" s="1" t="s">
        <v>98</v>
      </c>
      <c r="H34" s="1" t="s">
        <v>109</v>
      </c>
      <c r="I34" s="1" t="s">
        <v>100</v>
      </c>
      <c r="J34" s="1" t="s">
        <v>28</v>
      </c>
    </row>
    <row r="35">
      <c r="A35" s="1" t="s">
        <v>165</v>
      </c>
      <c r="B35" s="1">
        <v>11.0</v>
      </c>
      <c r="C35" s="37">
        <v>148.96</v>
      </c>
      <c r="D35" s="1" t="s">
        <v>112</v>
      </c>
      <c r="E35" s="1" t="s">
        <v>105</v>
      </c>
      <c r="F35" s="1" t="s">
        <v>107</v>
      </c>
      <c r="G35" s="1" t="s">
        <v>98</v>
      </c>
      <c r="H35" s="1" t="s">
        <v>109</v>
      </c>
      <c r="I35" s="1" t="s">
        <v>100</v>
      </c>
      <c r="J35" s="1" t="s">
        <v>29</v>
      </c>
    </row>
    <row r="36">
      <c r="A36" s="1" t="s">
        <v>809</v>
      </c>
      <c r="B36" s="1">
        <v>11.0</v>
      </c>
      <c r="C36" s="37">
        <v>77.25</v>
      </c>
      <c r="D36" s="1" t="s">
        <v>112</v>
      </c>
      <c r="E36" s="1" t="s">
        <v>105</v>
      </c>
      <c r="F36" s="1" t="s">
        <v>107</v>
      </c>
      <c r="G36" s="1" t="s">
        <v>98</v>
      </c>
      <c r="H36" s="1" t="s">
        <v>127</v>
      </c>
      <c r="I36" s="1" t="s">
        <v>99</v>
      </c>
      <c r="J36" s="1" t="s">
        <v>18</v>
      </c>
    </row>
    <row r="37">
      <c r="A37" s="1" t="s">
        <v>1140</v>
      </c>
      <c r="B37" s="1">
        <v>1.0</v>
      </c>
      <c r="C37" s="37">
        <v>124.68</v>
      </c>
      <c r="D37" s="1" t="s">
        <v>112</v>
      </c>
      <c r="E37" s="1" t="s">
        <v>105</v>
      </c>
      <c r="F37" s="1" t="s">
        <v>1139</v>
      </c>
      <c r="G37" s="1" t="s">
        <v>98</v>
      </c>
      <c r="H37" s="1" t="s">
        <v>109</v>
      </c>
      <c r="I37" s="1" t="s">
        <v>100</v>
      </c>
      <c r="J37" s="1" t="s">
        <v>28</v>
      </c>
    </row>
    <row r="38">
      <c r="A38" s="1" t="s">
        <v>1141</v>
      </c>
      <c r="B38" s="1">
        <v>12.0</v>
      </c>
      <c r="C38" s="37">
        <v>139.68</v>
      </c>
      <c r="D38" s="1" t="s">
        <v>112</v>
      </c>
      <c r="E38" s="1" t="s">
        <v>105</v>
      </c>
      <c r="F38" s="1" t="s">
        <v>107</v>
      </c>
      <c r="G38" s="1" t="s">
        <v>98</v>
      </c>
      <c r="H38" s="1" t="s">
        <v>109</v>
      </c>
      <c r="I38" s="1" t="s">
        <v>100</v>
      </c>
      <c r="J38" s="1" t="s">
        <v>29</v>
      </c>
    </row>
    <row r="39">
      <c r="A39" s="1" t="s">
        <v>988</v>
      </c>
      <c r="B39" s="1">
        <v>12.0</v>
      </c>
      <c r="C39" s="1">
        <v>37.99</v>
      </c>
      <c r="D39" s="1" t="s">
        <v>112</v>
      </c>
      <c r="E39" s="1" t="s">
        <v>105</v>
      </c>
      <c r="F39" s="1" t="s">
        <v>107</v>
      </c>
      <c r="G39" s="1" t="s">
        <v>98</v>
      </c>
      <c r="H39" s="1" t="s">
        <v>32</v>
      </c>
      <c r="I39" s="1" t="s">
        <v>1077</v>
      </c>
      <c r="J39" s="1" t="s">
        <v>33</v>
      </c>
    </row>
    <row r="40">
      <c r="A40" s="1" t="s">
        <v>972</v>
      </c>
      <c r="B40" s="1">
        <v>9.0</v>
      </c>
      <c r="C40" s="1">
        <v>124.0</v>
      </c>
      <c r="D40" s="1" t="s">
        <v>112</v>
      </c>
      <c r="E40" s="1" t="s">
        <v>105</v>
      </c>
      <c r="F40" s="1" t="s">
        <v>1139</v>
      </c>
      <c r="G40" s="1" t="s">
        <v>98</v>
      </c>
      <c r="H40" s="1" t="s">
        <v>109</v>
      </c>
      <c r="I40" s="1" t="s">
        <v>100</v>
      </c>
      <c r="J40" s="1" t="s">
        <v>28</v>
      </c>
    </row>
    <row r="41">
      <c r="A41" s="1" t="s">
        <v>827</v>
      </c>
      <c r="B41" s="1">
        <v>10.0</v>
      </c>
      <c r="C41" s="1">
        <v>30.5</v>
      </c>
      <c r="D41" s="1" t="s">
        <v>112</v>
      </c>
      <c r="E41" s="1" t="s">
        <v>105</v>
      </c>
      <c r="F41" s="1" t="s">
        <v>107</v>
      </c>
      <c r="G41" s="1" t="s">
        <v>98</v>
      </c>
      <c r="H41" s="1" t="s">
        <v>996</v>
      </c>
      <c r="I41" s="1" t="s">
        <v>1077</v>
      </c>
      <c r="J41" s="1" t="s">
        <v>996</v>
      </c>
    </row>
    <row r="42">
      <c r="A42" s="1" t="s">
        <v>1142</v>
      </c>
      <c r="B42" s="1">
        <v>15.0</v>
      </c>
      <c r="C42" s="1">
        <v>50.0</v>
      </c>
      <c r="D42" s="1" t="s">
        <v>112</v>
      </c>
      <c r="E42" s="1" t="s">
        <v>105</v>
      </c>
      <c r="F42" s="1" t="s">
        <v>97</v>
      </c>
      <c r="G42" s="1" t="s">
        <v>98</v>
      </c>
      <c r="H42" s="1" t="s">
        <v>32</v>
      </c>
      <c r="I42" s="1" t="s">
        <v>1077</v>
      </c>
      <c r="J42" s="1" t="s">
        <v>33</v>
      </c>
    </row>
    <row r="43">
      <c r="A43" s="1" t="s">
        <v>1143</v>
      </c>
      <c r="B43" s="1">
        <v>15.0</v>
      </c>
      <c r="C43" s="1">
        <v>200.0</v>
      </c>
      <c r="D43" s="1" t="s">
        <v>1127</v>
      </c>
      <c r="E43" s="1" t="s">
        <v>1144</v>
      </c>
      <c r="F43" s="1" t="s">
        <v>115</v>
      </c>
      <c r="G43" s="1" t="s">
        <v>98</v>
      </c>
      <c r="H43" s="1" t="s">
        <v>32</v>
      </c>
      <c r="I43" s="1" t="s">
        <v>1077</v>
      </c>
      <c r="J43" s="1" t="s">
        <v>32</v>
      </c>
    </row>
    <row r="44">
      <c r="A44" s="1" t="s">
        <v>972</v>
      </c>
      <c r="B44" s="1">
        <v>16.0</v>
      </c>
      <c r="C44" s="1">
        <v>176.0</v>
      </c>
      <c r="D44" s="1" t="s">
        <v>112</v>
      </c>
      <c r="E44" s="1" t="s">
        <v>105</v>
      </c>
      <c r="F44" s="1" t="s">
        <v>1139</v>
      </c>
      <c r="G44" s="1" t="s">
        <v>98</v>
      </c>
      <c r="H44" s="1" t="s">
        <v>109</v>
      </c>
      <c r="I44" s="1" t="s">
        <v>100</v>
      </c>
      <c r="J44" s="1" t="s">
        <v>28</v>
      </c>
    </row>
    <row r="45">
      <c r="A45" s="1" t="s">
        <v>1026</v>
      </c>
      <c r="B45" s="1">
        <v>16.0</v>
      </c>
      <c r="C45" s="1">
        <v>24.0</v>
      </c>
      <c r="D45" s="1" t="s">
        <v>112</v>
      </c>
      <c r="E45" s="1" t="s">
        <v>105</v>
      </c>
      <c r="F45" s="1" t="s">
        <v>107</v>
      </c>
      <c r="G45" s="1" t="s">
        <v>98</v>
      </c>
      <c r="H45" s="1" t="s">
        <v>32</v>
      </c>
      <c r="I45" s="1" t="s">
        <v>1077</v>
      </c>
      <c r="J45" s="1" t="s">
        <v>33</v>
      </c>
    </row>
    <row r="46">
      <c r="A46" s="1" t="s">
        <v>1141</v>
      </c>
      <c r="B46" s="1">
        <v>15.0</v>
      </c>
      <c r="C46" s="1">
        <v>91.16</v>
      </c>
      <c r="D46" s="1" t="s">
        <v>112</v>
      </c>
      <c r="E46" s="1" t="s">
        <v>105</v>
      </c>
      <c r="F46" s="1" t="s">
        <v>107</v>
      </c>
      <c r="G46" s="1" t="s">
        <v>98</v>
      </c>
      <c r="H46" s="1" t="s">
        <v>109</v>
      </c>
      <c r="I46" s="1" t="s">
        <v>100</v>
      </c>
      <c r="J46" s="1" t="s">
        <v>29</v>
      </c>
    </row>
    <row r="47">
      <c r="A47" s="1" t="s">
        <v>1145</v>
      </c>
      <c r="B47" s="1">
        <v>15.0</v>
      </c>
      <c r="C47" s="1">
        <v>50.0</v>
      </c>
      <c r="D47" s="1" t="s">
        <v>112</v>
      </c>
      <c r="E47" s="1" t="s">
        <v>105</v>
      </c>
      <c r="F47" s="1" t="s">
        <v>1139</v>
      </c>
      <c r="G47" s="1" t="s">
        <v>98</v>
      </c>
      <c r="H47" s="1" t="s">
        <v>109</v>
      </c>
      <c r="I47" s="1" t="s">
        <v>100</v>
      </c>
      <c r="J47" s="1" t="s">
        <v>28</v>
      </c>
    </row>
    <row r="48">
      <c r="A48" s="1" t="s">
        <v>165</v>
      </c>
      <c r="B48" s="1">
        <v>21.0</v>
      </c>
      <c r="C48" s="1">
        <v>109.06</v>
      </c>
      <c r="D48" s="1" t="s">
        <v>112</v>
      </c>
      <c r="E48" s="1" t="s">
        <v>105</v>
      </c>
      <c r="F48" s="1" t="s">
        <v>107</v>
      </c>
      <c r="G48" s="1" t="s">
        <v>98</v>
      </c>
      <c r="H48" s="1" t="s">
        <v>109</v>
      </c>
      <c r="I48" s="1" t="s">
        <v>100</v>
      </c>
      <c r="J48" s="1" t="s">
        <v>29</v>
      </c>
    </row>
    <row r="49">
      <c r="A49" s="1" t="s">
        <v>809</v>
      </c>
      <c r="B49" s="1">
        <v>20.0</v>
      </c>
      <c r="C49" s="1">
        <v>48.98</v>
      </c>
      <c r="D49" s="1" t="s">
        <v>112</v>
      </c>
      <c r="E49" s="1" t="s">
        <v>105</v>
      </c>
      <c r="F49" s="1" t="s">
        <v>107</v>
      </c>
      <c r="G49" s="1" t="s">
        <v>98</v>
      </c>
      <c r="H49" s="1" t="s">
        <v>127</v>
      </c>
      <c r="I49" s="1" t="s">
        <v>99</v>
      </c>
      <c r="J49" s="1" t="s">
        <v>18</v>
      </c>
    </row>
    <row r="50">
      <c r="A50" s="1" t="s">
        <v>25</v>
      </c>
      <c r="B50" s="1">
        <v>18.0</v>
      </c>
      <c r="C50" s="1">
        <v>16.99</v>
      </c>
      <c r="D50" s="1" t="s">
        <v>112</v>
      </c>
      <c r="E50" s="1" t="s">
        <v>105</v>
      </c>
      <c r="F50" s="1" t="s">
        <v>103</v>
      </c>
      <c r="G50" s="1" t="s">
        <v>98</v>
      </c>
      <c r="H50" s="1" t="s">
        <v>1100</v>
      </c>
      <c r="I50" s="1" t="s">
        <v>100</v>
      </c>
    </row>
    <row r="51">
      <c r="A51" s="1" t="s">
        <v>393</v>
      </c>
      <c r="B51" s="1">
        <v>18.0</v>
      </c>
      <c r="C51" s="1">
        <v>45.9</v>
      </c>
      <c r="D51" s="1" t="s">
        <v>112</v>
      </c>
      <c r="E51" s="1" t="s">
        <v>105</v>
      </c>
      <c r="F51" s="1" t="s">
        <v>107</v>
      </c>
      <c r="G51" s="1" t="s">
        <v>98</v>
      </c>
      <c r="H51" s="1" t="s">
        <v>109</v>
      </c>
      <c r="I51" s="1" t="s">
        <v>100</v>
      </c>
      <c r="J51" s="1" t="s">
        <v>29</v>
      </c>
    </row>
    <row r="52">
      <c r="A52" s="1" t="s">
        <v>347</v>
      </c>
      <c r="B52" s="1">
        <v>18.0</v>
      </c>
      <c r="C52" s="1">
        <v>33.0</v>
      </c>
      <c r="D52" s="1" t="s">
        <v>112</v>
      </c>
      <c r="E52" s="1" t="s">
        <v>105</v>
      </c>
      <c r="F52" s="1" t="s">
        <v>107</v>
      </c>
      <c r="G52" s="1" t="s">
        <v>98</v>
      </c>
      <c r="H52" s="1" t="s">
        <v>109</v>
      </c>
      <c r="I52" s="1" t="s">
        <v>100</v>
      </c>
      <c r="J52" s="1" t="s">
        <v>765</v>
      </c>
    </row>
    <row r="53">
      <c r="A53" s="1" t="s">
        <v>1146</v>
      </c>
      <c r="B53" s="1">
        <v>18.0</v>
      </c>
      <c r="C53" s="1">
        <v>50.93</v>
      </c>
      <c r="D53" s="1" t="s">
        <v>112</v>
      </c>
      <c r="E53" s="1" t="s">
        <v>105</v>
      </c>
      <c r="F53" s="1" t="s">
        <v>107</v>
      </c>
      <c r="G53" s="1" t="s">
        <v>98</v>
      </c>
      <c r="H53" s="1" t="s">
        <v>109</v>
      </c>
      <c r="I53" s="1" t="s">
        <v>100</v>
      </c>
      <c r="J53" s="1" t="s">
        <v>29</v>
      </c>
    </row>
    <row r="54">
      <c r="A54" s="1" t="s">
        <v>1147</v>
      </c>
      <c r="B54" s="1">
        <v>22.0</v>
      </c>
      <c r="C54" s="1">
        <v>161.0</v>
      </c>
      <c r="D54" s="1" t="s">
        <v>1127</v>
      </c>
      <c r="E54" s="1" t="s">
        <v>49</v>
      </c>
      <c r="F54" s="1" t="s">
        <v>115</v>
      </c>
      <c r="G54" s="1" t="s">
        <v>98</v>
      </c>
      <c r="H54" s="1"/>
      <c r="I54" s="1"/>
      <c r="J54" s="1"/>
    </row>
    <row r="55">
      <c r="A55" s="1" t="s">
        <v>1148</v>
      </c>
      <c r="B55" s="1">
        <v>22.0</v>
      </c>
      <c r="C55" s="1">
        <v>183.0</v>
      </c>
      <c r="D55" s="1" t="s">
        <v>1127</v>
      </c>
      <c r="E55" s="1" t="s">
        <v>49</v>
      </c>
      <c r="F55" s="1" t="s">
        <v>115</v>
      </c>
      <c r="G55" s="1" t="s">
        <v>98</v>
      </c>
      <c r="H55" s="1"/>
      <c r="I55" s="1"/>
      <c r="J55" s="1"/>
    </row>
    <row r="56">
      <c r="A56" s="1"/>
      <c r="B56" s="1"/>
      <c r="C56" s="1"/>
    </row>
    <row r="57">
      <c r="A57" s="1"/>
      <c r="B57" s="1"/>
      <c r="C57" s="1"/>
    </row>
    <row r="58">
      <c r="A58" s="1"/>
    </row>
    <row r="59">
      <c r="A59" s="1" t="s">
        <v>236</v>
      </c>
      <c r="C59" s="14">
        <f>8892.02*0.3-(633.9)</f>
        <v>2033.706</v>
      </c>
    </row>
    <row r="60">
      <c r="A60" s="1" t="s">
        <v>50</v>
      </c>
      <c r="C60" s="8">
        <f>SUM(C2:C58)</f>
        <v>8352.6</v>
      </c>
      <c r="D60" s="8">
        <f>8892.02-C60-C59</f>
        <v>-1494.286</v>
      </c>
    </row>
    <row r="62"/>
    <row r="63"/>
    <row r="64"/>
    <row r="65"/>
    <row r="66"/>
    <row r="67"/>
    <row r="68"/>
    <row r="69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8">
      <c r="E108" s="56">
        <v>44979.0</v>
      </c>
    </row>
    <row r="109">
      <c r="D109" s="1" t="s">
        <v>1122</v>
      </c>
      <c r="E109" s="14">
        <f>756.46</f>
        <v>756.46</v>
      </c>
    </row>
    <row r="110">
      <c r="D110" s="1" t="s">
        <v>1123</v>
      </c>
      <c r="E110" s="14">
        <f>12.35</f>
        <v>12.35</v>
      </c>
    </row>
    <row r="111">
      <c r="D111" s="1" t="s">
        <v>757</v>
      </c>
      <c r="E111" s="14">
        <f>8.36+14839.87</f>
        <v>14848.23</v>
      </c>
    </row>
    <row r="112">
      <c r="D112" s="1" t="s">
        <v>1124</v>
      </c>
      <c r="E112" s="14">
        <f>32810.45</f>
        <v>32810.45</v>
      </c>
    </row>
    <row r="113">
      <c r="D113" s="1" t="s">
        <v>81</v>
      </c>
      <c r="E113" s="1">
        <v>5373.79</v>
      </c>
    </row>
    <row r="114">
      <c r="D114" s="1" t="s">
        <v>1125</v>
      </c>
      <c r="E114" s="14">
        <f>37000</f>
        <v>37000</v>
      </c>
    </row>
    <row r="115">
      <c r="A115" s="14" t="s">
        <v>87</v>
      </c>
      <c r="B115" s="14" t="s">
        <v>237</v>
      </c>
    </row>
    <row r="116">
      <c r="A116" s="14" t="s">
        <v>49</v>
      </c>
      <c r="B116" s="8">
        <v>3411.99</v>
      </c>
    </row>
    <row r="117">
      <c r="A117" s="14" t="s">
        <v>105</v>
      </c>
      <c r="B117" s="8">
        <v>930.6899999999999</v>
      </c>
    </row>
    <row r="118">
      <c r="A118" s="14" t="s">
        <v>114</v>
      </c>
      <c r="B118" s="8">
        <v>99.0</v>
      </c>
    </row>
    <row r="119">
      <c r="A119" s="14" t="s">
        <v>117</v>
      </c>
      <c r="B119" s="8">
        <v>522.44</v>
      </c>
    </row>
    <row r="120">
      <c r="A120" s="14" t="s">
        <v>238</v>
      </c>
      <c r="B120" s="8">
        <v>4964.12</v>
      </c>
    </row>
  </sheetData>
  <autoFilter ref="$A$1:$BV$55"/>
  <drawing r:id="rId4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</row>
    <row r="2">
      <c r="A2" s="1" t="s">
        <v>95</v>
      </c>
      <c r="B2" s="1">
        <v>5.0</v>
      </c>
      <c r="C2" s="37">
        <v>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</row>
    <row r="3">
      <c r="A3" s="1" t="s">
        <v>102</v>
      </c>
      <c r="B3" s="1">
        <v>7.0</v>
      </c>
      <c r="C3" s="37">
        <v>0.0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</row>
    <row r="4">
      <c r="A4" s="1" t="s">
        <v>609</v>
      </c>
      <c r="B4" s="1">
        <v>26.0</v>
      </c>
      <c r="C4" s="37">
        <v>883.0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</row>
    <row r="5">
      <c r="A5" s="1" t="s">
        <v>106</v>
      </c>
      <c r="B5" s="1">
        <v>14.0</v>
      </c>
      <c r="C5" s="37">
        <v>450.0</v>
      </c>
      <c r="D5" s="1" t="s">
        <v>112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</row>
    <row r="6">
      <c r="A6" s="1" t="s">
        <v>111</v>
      </c>
      <c r="B6" s="1">
        <v>11.0</v>
      </c>
      <c r="C6" s="37">
        <v>104.0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</row>
    <row r="7">
      <c r="A7" s="1" t="s">
        <v>610</v>
      </c>
      <c r="B7" s="1">
        <v>20.0</v>
      </c>
      <c r="C7" s="37">
        <v>99.0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</row>
    <row r="8">
      <c r="A8" s="1" t="s">
        <v>116</v>
      </c>
      <c r="B8" s="1">
        <v>30.0</v>
      </c>
      <c r="C8" s="37">
        <v>13.95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</row>
    <row r="9">
      <c r="A9" s="1" t="s">
        <v>121</v>
      </c>
      <c r="B9" s="1">
        <v>29.0</v>
      </c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</row>
    <row r="10">
      <c r="A10" s="1" t="s">
        <v>122</v>
      </c>
      <c r="B10" s="1">
        <v>2.0</v>
      </c>
      <c r="C10" s="37">
        <v>9.9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</row>
    <row r="11">
      <c r="A11" s="1" t="s">
        <v>123</v>
      </c>
      <c r="B11" s="1">
        <v>15.0</v>
      </c>
      <c r="C11" s="37">
        <v>89.9</v>
      </c>
      <c r="D11" s="1" t="s">
        <v>112</v>
      </c>
      <c r="E11" s="1" t="s">
        <v>117</v>
      </c>
      <c r="F11" s="1" t="s">
        <v>115</v>
      </c>
      <c r="G11" s="1" t="s">
        <v>118</v>
      </c>
      <c r="H11" s="1" t="s">
        <v>99</v>
      </c>
      <c r="J11" s="1" t="s">
        <v>19</v>
      </c>
      <c r="L11" s="1" t="s">
        <v>101</v>
      </c>
    </row>
    <row r="12">
      <c r="A12" s="1" t="s">
        <v>124</v>
      </c>
      <c r="B12" s="1">
        <v>8.0</v>
      </c>
      <c r="C12" s="37">
        <v>39.9</v>
      </c>
      <c r="D12" s="1" t="s">
        <v>112</v>
      </c>
      <c r="E12" s="1" t="s">
        <v>117</v>
      </c>
      <c r="F12" s="1" t="s">
        <v>107</v>
      </c>
      <c r="G12" s="1" t="s">
        <v>118</v>
      </c>
      <c r="H12" s="1" t="s">
        <v>109</v>
      </c>
      <c r="J12" s="1" t="s">
        <v>17</v>
      </c>
      <c r="L12" s="1" t="s">
        <v>101</v>
      </c>
    </row>
    <row r="13">
      <c r="A13" s="1" t="s">
        <v>125</v>
      </c>
      <c r="B13" s="1">
        <v>15.0</v>
      </c>
      <c r="C13" s="37">
        <v>0.0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</row>
    <row r="14">
      <c r="A14" s="1" t="s">
        <v>126</v>
      </c>
      <c r="B14" s="1">
        <v>27.0</v>
      </c>
      <c r="C14" s="37">
        <v>206.99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127</v>
      </c>
      <c r="I14" s="1" t="s">
        <v>100</v>
      </c>
      <c r="J14" s="1" t="s">
        <v>26</v>
      </c>
      <c r="L14" s="1" t="s">
        <v>101</v>
      </c>
    </row>
    <row r="15">
      <c r="A15" s="1" t="s">
        <v>128</v>
      </c>
      <c r="B15" s="1">
        <v>2.0</v>
      </c>
      <c r="C15" s="37">
        <v>37.9</v>
      </c>
      <c r="D15" s="1" t="s">
        <v>112</v>
      </c>
      <c r="E15" s="1" t="s">
        <v>117</v>
      </c>
      <c r="F15" s="1" t="s">
        <v>115</v>
      </c>
      <c r="G15" s="1" t="s">
        <v>118</v>
      </c>
      <c r="H15" s="1" t="s">
        <v>129</v>
      </c>
      <c r="I15" s="1" t="s">
        <v>129</v>
      </c>
      <c r="J15" s="1" t="s">
        <v>16</v>
      </c>
      <c r="K15" s="42">
        <v>44899.0</v>
      </c>
      <c r="L15" s="1" t="s">
        <v>101</v>
      </c>
    </row>
    <row r="16">
      <c r="A16" s="1" t="s">
        <v>264</v>
      </c>
      <c r="B16" s="1">
        <v>10.0</v>
      </c>
      <c r="C16" s="37">
        <f>16+18+58</f>
        <v>92</v>
      </c>
      <c r="D16" s="1" t="s">
        <v>112</v>
      </c>
      <c r="E16" s="1" t="s">
        <v>105</v>
      </c>
      <c r="F16" s="1" t="s">
        <v>115</v>
      </c>
      <c r="G16" s="1" t="s">
        <v>98</v>
      </c>
      <c r="H16" s="1" t="s">
        <v>127</v>
      </c>
      <c r="J16" s="1" t="s">
        <v>20</v>
      </c>
    </row>
    <row r="17">
      <c r="A17" s="1" t="s">
        <v>130</v>
      </c>
      <c r="B17" s="1">
        <v>27.0</v>
      </c>
      <c r="C17" s="37">
        <v>109.0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99</v>
      </c>
      <c r="I17" s="1" t="s">
        <v>100</v>
      </c>
      <c r="J17" s="1" t="s">
        <v>23</v>
      </c>
      <c r="L17" s="1" t="s">
        <v>101</v>
      </c>
    </row>
    <row r="18">
      <c r="A18" s="1" t="s">
        <v>612</v>
      </c>
      <c r="B18" s="1">
        <v>1.0</v>
      </c>
      <c r="C18" s="37">
        <f>55.71+30</f>
        <v>85.71</v>
      </c>
      <c r="D18" s="1" t="s">
        <v>96</v>
      </c>
      <c r="E18" s="1" t="s">
        <v>105</v>
      </c>
      <c r="F18" s="1" t="s">
        <v>107</v>
      </c>
      <c r="G18" s="1" t="s">
        <v>98</v>
      </c>
      <c r="H18" s="1" t="s">
        <v>127</v>
      </c>
      <c r="J18" s="1" t="s">
        <v>18</v>
      </c>
    </row>
    <row r="19">
      <c r="A19" s="1" t="s">
        <v>372</v>
      </c>
      <c r="B19" s="1">
        <v>10.0</v>
      </c>
      <c r="C19" s="37">
        <v>0.0</v>
      </c>
      <c r="E19" s="1" t="s">
        <v>105</v>
      </c>
      <c r="F19" s="1" t="s">
        <v>115</v>
      </c>
      <c r="G19" s="1" t="s">
        <v>98</v>
      </c>
      <c r="J19" s="1" t="s">
        <v>15</v>
      </c>
    </row>
    <row r="20">
      <c r="A20" s="1" t="s">
        <v>895</v>
      </c>
      <c r="B20" s="1">
        <v>10.0</v>
      </c>
      <c r="C20" s="37">
        <v>0.0</v>
      </c>
      <c r="E20" s="1" t="s">
        <v>105</v>
      </c>
      <c r="F20" s="1" t="s">
        <v>107</v>
      </c>
      <c r="G20" s="1" t="s">
        <v>98</v>
      </c>
      <c r="H20" s="1" t="s">
        <v>109</v>
      </c>
      <c r="I20" s="1" t="s">
        <v>100</v>
      </c>
      <c r="J20" s="1" t="s">
        <v>28</v>
      </c>
    </row>
    <row r="21">
      <c r="A21" s="1" t="s">
        <v>998</v>
      </c>
      <c r="B21" s="1">
        <v>10.0</v>
      </c>
      <c r="C21" s="37">
        <f>110.4+184.9+29.25+220</f>
        <v>544.55</v>
      </c>
      <c r="E21" s="1" t="s">
        <v>105</v>
      </c>
      <c r="F21" s="1" t="s">
        <v>107</v>
      </c>
      <c r="G21" s="1" t="s">
        <v>98</v>
      </c>
      <c r="H21" s="1" t="s">
        <v>109</v>
      </c>
      <c r="I21" s="1" t="s">
        <v>100</v>
      </c>
      <c r="J21" s="1" t="s">
        <v>28</v>
      </c>
    </row>
    <row r="22">
      <c r="A22" s="1" t="s">
        <v>1078</v>
      </c>
      <c r="B22" s="1">
        <v>10.0</v>
      </c>
      <c r="C22" s="37">
        <v>657.0</v>
      </c>
      <c r="E22" s="1" t="s">
        <v>105</v>
      </c>
      <c r="F22" s="1" t="s">
        <v>107</v>
      </c>
      <c r="G22" s="1" t="s">
        <v>98</v>
      </c>
      <c r="K22" s="42">
        <v>44986.0</v>
      </c>
    </row>
    <row r="23">
      <c r="A23" s="1" t="s">
        <v>1002</v>
      </c>
      <c r="B23" s="1">
        <v>10.0</v>
      </c>
      <c r="C23" s="37">
        <f>139.22+10.65+35.59</f>
        <v>185.46</v>
      </c>
      <c r="E23" s="1" t="s">
        <v>105</v>
      </c>
      <c r="F23" s="1" t="s">
        <v>107</v>
      </c>
      <c r="G23" s="1" t="s">
        <v>98</v>
      </c>
      <c r="H23" s="1" t="s">
        <v>109</v>
      </c>
      <c r="I23" s="1" t="s">
        <v>1149</v>
      </c>
      <c r="J23" s="1" t="s">
        <v>25</v>
      </c>
    </row>
    <row r="24">
      <c r="A24" s="1" t="s">
        <v>1150</v>
      </c>
      <c r="B24" s="1">
        <v>10.0</v>
      </c>
      <c r="C24" s="37">
        <f>151.78+341.93+34.73+37.58+51.75+164.91+29.99+415.41</f>
        <v>1228.08</v>
      </c>
      <c r="E24" s="1" t="s">
        <v>105</v>
      </c>
      <c r="F24" s="1" t="s">
        <v>107</v>
      </c>
      <c r="G24" s="1" t="s">
        <v>98</v>
      </c>
      <c r="H24" s="1" t="s">
        <v>109</v>
      </c>
      <c r="I24" s="1" t="s">
        <v>100</v>
      </c>
      <c r="J24" s="1" t="s">
        <v>29</v>
      </c>
    </row>
    <row r="25">
      <c r="A25" s="1" t="s">
        <v>24</v>
      </c>
      <c r="B25" s="1">
        <v>10.0</v>
      </c>
      <c r="C25" s="37">
        <f>18.53+20+53.75+24.46</f>
        <v>116.74</v>
      </c>
      <c r="E25" s="1" t="s">
        <v>105</v>
      </c>
      <c r="F25" s="1" t="s">
        <v>107</v>
      </c>
      <c r="G25" s="1" t="s">
        <v>98</v>
      </c>
      <c r="H25" s="1" t="s">
        <v>109</v>
      </c>
      <c r="I25" s="1" t="s">
        <v>100</v>
      </c>
      <c r="J25" s="1" t="s">
        <v>24</v>
      </c>
    </row>
    <row r="26">
      <c r="A26" s="1" t="s">
        <v>1151</v>
      </c>
      <c r="B26" s="1">
        <v>10.0</v>
      </c>
      <c r="C26" s="37">
        <f>50+27.6+183.2+50.97+99.9+23.7+27.5+47.7+53.8+85.7+184.94+14.99+31.5</f>
        <v>881.5</v>
      </c>
      <c r="E26" s="1" t="s">
        <v>105</v>
      </c>
      <c r="F26" s="1" t="s">
        <v>107</v>
      </c>
      <c r="G26" s="1" t="s">
        <v>98</v>
      </c>
      <c r="H26" s="1" t="s">
        <v>32</v>
      </c>
      <c r="I26" s="1" t="s">
        <v>32</v>
      </c>
      <c r="J26" s="1" t="s">
        <v>32</v>
      </c>
    </row>
    <row r="27">
      <c r="C27" s="37"/>
    </row>
    <row r="29">
      <c r="A29" s="1" t="s">
        <v>236</v>
      </c>
      <c r="C29" s="14">
        <f>8892.02*0.3-(633.9)</f>
        <v>2033.706</v>
      </c>
    </row>
    <row r="30">
      <c r="A30" s="1" t="s">
        <v>50</v>
      </c>
      <c r="C30" s="8">
        <f>SUM(C2:C25)</f>
        <v>4967.98</v>
      </c>
      <c r="D30" s="8">
        <f>8892.02-C30-C29</f>
        <v>1890.334</v>
      </c>
    </row>
    <row r="32"/>
    <row r="33"/>
    <row r="34"/>
    <row r="35"/>
    <row r="36"/>
    <row r="37"/>
    <row r="41"/>
    <row r="42"/>
    <row r="43"/>
    <row r="44"/>
    <row r="45"/>
    <row r="46"/>
    <row r="47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85">
      <c r="A85" s="14" t="s">
        <v>87</v>
      </c>
      <c r="B85" s="14" t="s">
        <v>237</v>
      </c>
    </row>
    <row r="86">
      <c r="A86" s="14" t="s">
        <v>49</v>
      </c>
      <c r="B86" s="8">
        <v>1437.0</v>
      </c>
    </row>
    <row r="87">
      <c r="A87" s="14" t="s">
        <v>105</v>
      </c>
      <c r="B87" s="8">
        <v>2909.54</v>
      </c>
    </row>
    <row r="88">
      <c r="A88" s="14" t="s">
        <v>114</v>
      </c>
      <c r="B88" s="8">
        <v>99.0</v>
      </c>
    </row>
    <row r="89">
      <c r="A89" s="14" t="s">
        <v>117</v>
      </c>
      <c r="B89" s="8">
        <v>522.44</v>
      </c>
    </row>
    <row r="90">
      <c r="A90" s="14" t="s">
        <v>238</v>
      </c>
      <c r="B90" s="8">
        <v>4967.9800000000005</v>
      </c>
    </row>
  </sheetData>
  <autoFilter ref="$A$1:$BV$26"/>
  <drawing r:id="rId4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607</v>
      </c>
      <c r="B1" s="57" t="s">
        <v>84</v>
      </c>
      <c r="C1" s="57" t="s">
        <v>85</v>
      </c>
      <c r="D1" s="57" t="s">
        <v>86</v>
      </c>
      <c r="E1" s="57" t="s">
        <v>87</v>
      </c>
      <c r="F1" s="57" t="s">
        <v>88</v>
      </c>
      <c r="G1" s="57" t="s">
        <v>89</v>
      </c>
      <c r="H1" s="57" t="s">
        <v>92</v>
      </c>
      <c r="I1" s="57" t="s">
        <v>91</v>
      </c>
      <c r="J1" s="57" t="s">
        <v>1152</v>
      </c>
      <c r="K1" s="58"/>
      <c r="L1" s="57" t="s">
        <v>93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1" t="s">
        <v>95</v>
      </c>
      <c r="B2" s="1">
        <v>5.0</v>
      </c>
      <c r="C2" s="37">
        <v>770.0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</row>
    <row r="3">
      <c r="A3" s="1" t="s">
        <v>102</v>
      </c>
      <c r="B3" s="1">
        <v>7.0</v>
      </c>
      <c r="C3" s="37">
        <v>1566.0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</row>
    <row r="4">
      <c r="A4" s="1" t="s">
        <v>609</v>
      </c>
      <c r="B4" s="1">
        <v>26.0</v>
      </c>
      <c r="C4" s="37">
        <v>998.0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5" max="5" width="16.38"/>
  </cols>
  <sheetData>
    <row r="1">
      <c r="A1" s="1" t="s">
        <v>607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L1" s="1" t="s">
        <v>93</v>
      </c>
    </row>
    <row r="2">
      <c r="A2" s="1" t="s">
        <v>95</v>
      </c>
      <c r="B2" s="1">
        <v>5.0</v>
      </c>
      <c r="C2" s="37">
        <v>770.0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</row>
    <row r="3">
      <c r="A3" s="1" t="s">
        <v>102</v>
      </c>
      <c r="B3" s="1">
        <v>7.0</v>
      </c>
      <c r="C3" s="37">
        <v>1566.0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</row>
    <row r="4">
      <c r="A4" s="1" t="s">
        <v>609</v>
      </c>
      <c r="B4" s="1">
        <v>26.0</v>
      </c>
      <c r="C4" s="37">
        <v>998.0</v>
      </c>
      <c r="D4" s="1" t="s">
        <v>96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</row>
    <row r="5">
      <c r="A5" s="1" t="s">
        <v>106</v>
      </c>
      <c r="B5" s="1">
        <v>14.0</v>
      </c>
      <c r="C5" s="37">
        <v>550.0</v>
      </c>
      <c r="D5" s="1" t="s">
        <v>112</v>
      </c>
      <c r="E5" s="1" t="s">
        <v>49</v>
      </c>
      <c r="F5" s="1" t="s">
        <v>107</v>
      </c>
      <c r="G5" s="1" t="s">
        <v>108</v>
      </c>
      <c r="H5" s="1" t="s">
        <v>109</v>
      </c>
      <c r="I5" s="1" t="s">
        <v>100</v>
      </c>
      <c r="J5" s="1" t="s">
        <v>27</v>
      </c>
      <c r="L5" s="1" t="s">
        <v>110</v>
      </c>
    </row>
    <row r="6">
      <c r="A6" s="1" t="s">
        <v>111</v>
      </c>
      <c r="B6" s="1">
        <v>11.0</v>
      </c>
      <c r="C6" s="37">
        <v>99.0</v>
      </c>
      <c r="D6" s="1" t="s">
        <v>96</v>
      </c>
      <c r="E6" s="1" t="s">
        <v>49</v>
      </c>
      <c r="F6" s="1" t="s">
        <v>107</v>
      </c>
      <c r="G6" s="1" t="s">
        <v>98</v>
      </c>
      <c r="H6" s="1" t="s">
        <v>109</v>
      </c>
      <c r="I6" s="1" t="s">
        <v>100</v>
      </c>
      <c r="J6" s="1" t="s">
        <v>22</v>
      </c>
      <c r="L6" s="1" t="s">
        <v>101</v>
      </c>
    </row>
    <row r="7">
      <c r="A7" s="1" t="s">
        <v>610</v>
      </c>
      <c r="B7" s="1">
        <v>20.0</v>
      </c>
      <c r="C7" s="37">
        <v>99.0</v>
      </c>
      <c r="D7" s="1" t="s">
        <v>96</v>
      </c>
      <c r="E7" s="1" t="s">
        <v>114</v>
      </c>
      <c r="F7" s="1" t="s">
        <v>115</v>
      </c>
      <c r="G7" s="1" t="s">
        <v>98</v>
      </c>
      <c r="H7" s="1" t="s">
        <v>109</v>
      </c>
      <c r="I7" s="1" t="s">
        <v>100</v>
      </c>
      <c r="J7" s="1" t="s">
        <v>21</v>
      </c>
      <c r="L7" s="1" t="s">
        <v>101</v>
      </c>
    </row>
    <row r="8">
      <c r="A8" s="1" t="s">
        <v>116</v>
      </c>
      <c r="B8" s="1">
        <v>30.0</v>
      </c>
      <c r="C8" s="37">
        <v>13.95</v>
      </c>
      <c r="D8" s="1" t="s">
        <v>112</v>
      </c>
      <c r="E8" s="1" t="s">
        <v>117</v>
      </c>
      <c r="F8" s="1" t="s">
        <v>107</v>
      </c>
      <c r="G8" s="1" t="s">
        <v>118</v>
      </c>
      <c r="H8" s="1" t="s">
        <v>109</v>
      </c>
      <c r="J8" s="1" t="s">
        <v>17</v>
      </c>
      <c r="L8" s="1" t="s">
        <v>101</v>
      </c>
    </row>
    <row r="9">
      <c r="A9" s="1" t="s">
        <v>121</v>
      </c>
      <c r="B9" s="1">
        <v>29.0</v>
      </c>
      <c r="C9" s="37">
        <v>14.9</v>
      </c>
      <c r="D9" s="1" t="s">
        <v>112</v>
      </c>
      <c r="E9" s="1" t="s">
        <v>117</v>
      </c>
      <c r="F9" s="1" t="s">
        <v>107</v>
      </c>
      <c r="G9" s="1" t="s">
        <v>118</v>
      </c>
      <c r="H9" s="1" t="s">
        <v>109</v>
      </c>
      <c r="J9" s="1" t="s">
        <v>17</v>
      </c>
      <c r="L9" s="1" t="s">
        <v>101</v>
      </c>
    </row>
    <row r="10">
      <c r="A10" s="1" t="s">
        <v>122</v>
      </c>
      <c r="B10" s="1">
        <v>2.0</v>
      </c>
      <c r="C10" s="37">
        <v>9.9</v>
      </c>
      <c r="D10" s="1" t="s">
        <v>112</v>
      </c>
      <c r="E10" s="1" t="s">
        <v>117</v>
      </c>
      <c r="F10" s="1" t="s">
        <v>107</v>
      </c>
      <c r="G10" s="1" t="s">
        <v>118</v>
      </c>
      <c r="H10" s="1" t="s">
        <v>109</v>
      </c>
      <c r="J10" s="1" t="s">
        <v>17</v>
      </c>
      <c r="L10" s="1" t="s">
        <v>101</v>
      </c>
    </row>
    <row r="11">
      <c r="A11" s="1" t="s">
        <v>123</v>
      </c>
      <c r="B11" s="1">
        <v>15.0</v>
      </c>
      <c r="C11" s="37">
        <v>89.9</v>
      </c>
      <c r="D11" s="1" t="s">
        <v>112</v>
      </c>
      <c r="E11" s="1" t="s">
        <v>117</v>
      </c>
      <c r="F11" s="1" t="s">
        <v>115</v>
      </c>
      <c r="G11" s="1" t="s">
        <v>118</v>
      </c>
      <c r="H11" s="1" t="s">
        <v>99</v>
      </c>
      <c r="J11" s="1" t="s">
        <v>19</v>
      </c>
      <c r="L11" s="1" t="s">
        <v>101</v>
      </c>
    </row>
    <row r="12">
      <c r="A12" s="1" t="s">
        <v>124</v>
      </c>
      <c r="B12" s="1">
        <v>8.0</v>
      </c>
      <c r="C12" s="37">
        <v>39.9</v>
      </c>
      <c r="D12" s="1" t="s">
        <v>112</v>
      </c>
      <c r="E12" s="1" t="s">
        <v>117</v>
      </c>
      <c r="F12" s="1" t="s">
        <v>107</v>
      </c>
      <c r="G12" s="1" t="s">
        <v>118</v>
      </c>
      <c r="H12" s="1" t="s">
        <v>109</v>
      </c>
      <c r="J12" s="1" t="s">
        <v>17</v>
      </c>
      <c r="L12" s="1" t="s">
        <v>101</v>
      </c>
    </row>
    <row r="13">
      <c r="A13" s="1" t="s">
        <v>125</v>
      </c>
      <c r="B13" s="1">
        <v>15.0</v>
      </c>
      <c r="C13" s="37">
        <v>44.99</v>
      </c>
      <c r="D13" s="1" t="s">
        <v>112</v>
      </c>
      <c r="E13" s="1" t="s">
        <v>117</v>
      </c>
      <c r="F13" s="1" t="s">
        <v>107</v>
      </c>
      <c r="G13" s="1" t="s">
        <v>118</v>
      </c>
      <c r="H13" s="1" t="s">
        <v>109</v>
      </c>
      <c r="J13" s="1" t="s">
        <v>17</v>
      </c>
      <c r="L13" s="1" t="s">
        <v>101</v>
      </c>
    </row>
    <row r="14">
      <c r="A14" s="1" t="s">
        <v>126</v>
      </c>
      <c r="B14" s="1">
        <v>27.0</v>
      </c>
      <c r="C14" s="37">
        <v>206.99</v>
      </c>
      <c r="D14" s="1" t="s">
        <v>112</v>
      </c>
      <c r="E14" s="1" t="s">
        <v>117</v>
      </c>
      <c r="F14" s="1" t="s">
        <v>107</v>
      </c>
      <c r="G14" s="1" t="s">
        <v>118</v>
      </c>
      <c r="H14" s="1" t="s">
        <v>127</v>
      </c>
      <c r="I14" s="1" t="s">
        <v>100</v>
      </c>
      <c r="J14" s="1" t="s">
        <v>26</v>
      </c>
      <c r="L14" s="1" t="s">
        <v>101</v>
      </c>
    </row>
    <row r="15">
      <c r="A15" s="1" t="s">
        <v>128</v>
      </c>
      <c r="B15" s="1">
        <v>2.0</v>
      </c>
      <c r="C15" s="37">
        <v>37.9</v>
      </c>
      <c r="D15" s="1" t="s">
        <v>112</v>
      </c>
      <c r="E15" s="1" t="s">
        <v>117</v>
      </c>
      <c r="F15" s="1" t="s">
        <v>115</v>
      </c>
      <c r="G15" s="1" t="s">
        <v>118</v>
      </c>
      <c r="H15" s="1" t="s">
        <v>129</v>
      </c>
      <c r="I15" s="1" t="s">
        <v>129</v>
      </c>
      <c r="J15" s="1" t="s">
        <v>16</v>
      </c>
      <c r="K15" s="42">
        <v>44899.0</v>
      </c>
      <c r="L15" s="1" t="s">
        <v>101</v>
      </c>
    </row>
    <row r="16">
      <c r="A16" s="1" t="s">
        <v>1153</v>
      </c>
      <c r="B16" s="1">
        <v>16.0</v>
      </c>
      <c r="C16" s="37">
        <v>22.0</v>
      </c>
      <c r="D16" s="1" t="s">
        <v>112</v>
      </c>
      <c r="E16" s="1" t="s">
        <v>117</v>
      </c>
      <c r="F16" s="1" t="s">
        <v>115</v>
      </c>
      <c r="G16" s="1" t="s">
        <v>118</v>
      </c>
      <c r="H16" s="1" t="s">
        <v>99</v>
      </c>
      <c r="J16" s="1" t="s">
        <v>1154</v>
      </c>
    </row>
    <row r="17">
      <c r="A17" s="1" t="s">
        <v>1155</v>
      </c>
      <c r="B17" s="1">
        <v>6.0</v>
      </c>
      <c r="C17" s="37">
        <v>5.0</v>
      </c>
      <c r="D17" s="1" t="s">
        <v>112</v>
      </c>
      <c r="E17" s="1" t="s">
        <v>117</v>
      </c>
      <c r="F17" s="1" t="s">
        <v>115</v>
      </c>
      <c r="G17" s="1" t="s">
        <v>118</v>
      </c>
      <c r="H17" s="1" t="s">
        <v>127</v>
      </c>
      <c r="J17" s="1" t="s">
        <v>20</v>
      </c>
    </row>
    <row r="18">
      <c r="A18" s="1" t="s">
        <v>130</v>
      </c>
      <c r="B18" s="1">
        <v>27.0</v>
      </c>
      <c r="C18" s="37">
        <v>109.0</v>
      </c>
      <c r="D18" s="1" t="s">
        <v>112</v>
      </c>
      <c r="E18" s="1" t="s">
        <v>117</v>
      </c>
      <c r="F18" s="1" t="s">
        <v>115</v>
      </c>
      <c r="G18" s="1" t="s">
        <v>118</v>
      </c>
      <c r="H18" s="1" t="s">
        <v>99</v>
      </c>
      <c r="I18" s="1" t="s">
        <v>100</v>
      </c>
      <c r="J18" s="1" t="s">
        <v>23</v>
      </c>
      <c r="L18" s="1" t="s">
        <v>101</v>
      </c>
    </row>
    <row r="19">
      <c r="A19" s="1" t="s">
        <v>1156</v>
      </c>
      <c r="B19" s="47">
        <v>44799.0</v>
      </c>
      <c r="C19" s="37">
        <v>31.82</v>
      </c>
      <c r="D19" s="1" t="s">
        <v>96</v>
      </c>
      <c r="E19" s="1" t="s">
        <v>105</v>
      </c>
      <c r="F19" s="1" t="s">
        <v>97</v>
      </c>
      <c r="G19" s="1" t="s">
        <v>98</v>
      </c>
      <c r="H19" s="1" t="s">
        <v>32</v>
      </c>
      <c r="J19" s="1" t="s">
        <v>32</v>
      </c>
    </row>
    <row r="20">
      <c r="A20" s="1" t="s">
        <v>1060</v>
      </c>
      <c r="B20" s="47">
        <v>44799.0</v>
      </c>
      <c r="C20" s="37">
        <v>37.27</v>
      </c>
      <c r="D20" s="1" t="s">
        <v>96</v>
      </c>
      <c r="E20" s="1" t="s">
        <v>105</v>
      </c>
      <c r="F20" s="1" t="s">
        <v>107</v>
      </c>
      <c r="G20" s="1" t="s">
        <v>98</v>
      </c>
      <c r="H20" s="1" t="s">
        <v>109</v>
      </c>
      <c r="J20" s="1" t="s">
        <v>765</v>
      </c>
    </row>
    <row r="21">
      <c r="A21" s="1" t="s">
        <v>827</v>
      </c>
      <c r="B21" s="47">
        <v>44799.0</v>
      </c>
      <c r="C21" s="37">
        <v>12.5</v>
      </c>
      <c r="D21" s="1" t="s">
        <v>96</v>
      </c>
      <c r="E21" s="1" t="s">
        <v>105</v>
      </c>
      <c r="F21" s="1" t="s">
        <v>107</v>
      </c>
      <c r="G21" s="1" t="s">
        <v>98</v>
      </c>
      <c r="H21" s="1" t="s">
        <v>996</v>
      </c>
      <c r="J21" s="1" t="s">
        <v>996</v>
      </c>
    </row>
    <row r="22">
      <c r="A22" s="1" t="s">
        <v>1157</v>
      </c>
      <c r="B22" s="47">
        <v>44801.0</v>
      </c>
      <c r="C22" s="37">
        <v>14.59</v>
      </c>
      <c r="D22" s="1" t="s">
        <v>96</v>
      </c>
      <c r="E22" s="1" t="s">
        <v>105</v>
      </c>
      <c r="F22" s="1" t="s">
        <v>107</v>
      </c>
      <c r="G22" s="1" t="s">
        <v>98</v>
      </c>
      <c r="H22" s="1" t="s">
        <v>1100</v>
      </c>
      <c r="J22" s="1" t="s">
        <v>25</v>
      </c>
    </row>
    <row r="23">
      <c r="A23" s="1" t="s">
        <v>271</v>
      </c>
      <c r="B23" s="47">
        <v>44801.0</v>
      </c>
      <c r="C23" s="59">
        <v>144.87</v>
      </c>
      <c r="D23" s="1" t="s">
        <v>96</v>
      </c>
      <c r="E23" s="1" t="s">
        <v>105</v>
      </c>
      <c r="F23" s="1" t="s">
        <v>107</v>
      </c>
      <c r="G23" s="1" t="s">
        <v>98</v>
      </c>
      <c r="H23" s="1" t="s">
        <v>109</v>
      </c>
      <c r="J23" s="1" t="s">
        <v>29</v>
      </c>
    </row>
    <row r="24">
      <c r="A24" s="1" t="s">
        <v>796</v>
      </c>
      <c r="B24" s="47">
        <v>44801.0</v>
      </c>
      <c r="C24" s="37">
        <v>44.33</v>
      </c>
      <c r="D24" s="1" t="s">
        <v>96</v>
      </c>
      <c r="E24" s="1" t="s">
        <v>105</v>
      </c>
      <c r="F24" s="1" t="s">
        <v>107</v>
      </c>
      <c r="G24" s="1" t="s">
        <v>98</v>
      </c>
      <c r="H24" s="1" t="s">
        <v>127</v>
      </c>
      <c r="J24" s="1" t="s">
        <v>18</v>
      </c>
    </row>
    <row r="25">
      <c r="A25" s="1" t="s">
        <v>165</v>
      </c>
      <c r="B25" s="47">
        <v>44802.0</v>
      </c>
      <c r="C25" s="37">
        <v>212.31</v>
      </c>
      <c r="D25" s="1" t="s">
        <v>96</v>
      </c>
      <c r="E25" s="1" t="s">
        <v>105</v>
      </c>
      <c r="F25" s="1" t="s">
        <v>107</v>
      </c>
      <c r="G25" s="1" t="s">
        <v>98</v>
      </c>
      <c r="H25" s="1" t="s">
        <v>109</v>
      </c>
      <c r="J25" s="1" t="s">
        <v>29</v>
      </c>
    </row>
    <row r="26">
      <c r="A26" s="1" t="s">
        <v>1158</v>
      </c>
      <c r="B26" s="47">
        <v>44802.0</v>
      </c>
      <c r="C26" s="37">
        <v>930.0</v>
      </c>
      <c r="D26" s="1" t="s">
        <v>96</v>
      </c>
      <c r="E26" s="1" t="s">
        <v>105</v>
      </c>
      <c r="F26" s="1" t="s">
        <v>107</v>
      </c>
      <c r="G26" s="1" t="s">
        <v>98</v>
      </c>
      <c r="H26" s="1" t="s">
        <v>32</v>
      </c>
      <c r="J26" s="1" t="s">
        <v>1159</v>
      </c>
    </row>
    <row r="27">
      <c r="A27" s="1" t="s">
        <v>1160</v>
      </c>
      <c r="B27" s="47">
        <v>44802.0</v>
      </c>
      <c r="C27" s="37">
        <v>12.9</v>
      </c>
      <c r="D27" s="1" t="s">
        <v>96</v>
      </c>
      <c r="E27" s="1" t="s">
        <v>105</v>
      </c>
      <c r="F27" s="1" t="s">
        <v>97</v>
      </c>
      <c r="G27" s="1" t="s">
        <v>98</v>
      </c>
      <c r="H27" s="1" t="s">
        <v>996</v>
      </c>
      <c r="J27" s="1" t="s">
        <v>996</v>
      </c>
    </row>
    <row r="28">
      <c r="A28" s="1" t="s">
        <v>1161</v>
      </c>
      <c r="B28" s="47">
        <v>44802.0</v>
      </c>
      <c r="C28" s="37">
        <v>649.7</v>
      </c>
      <c r="D28" s="1" t="s">
        <v>96</v>
      </c>
      <c r="E28" s="1" t="s">
        <v>105</v>
      </c>
      <c r="F28" s="1" t="s">
        <v>107</v>
      </c>
      <c r="G28" s="1" t="s">
        <v>98</v>
      </c>
      <c r="H28" s="1" t="s">
        <v>32</v>
      </c>
      <c r="J28" s="1" t="s">
        <v>1159</v>
      </c>
    </row>
    <row r="29">
      <c r="A29" s="1" t="s">
        <v>1162</v>
      </c>
      <c r="B29" s="47">
        <v>44803.0</v>
      </c>
      <c r="C29" s="37">
        <v>100.0</v>
      </c>
      <c r="D29" s="1" t="s">
        <v>96</v>
      </c>
      <c r="E29" s="1" t="s">
        <v>105</v>
      </c>
      <c r="F29" s="1" t="s">
        <v>916</v>
      </c>
      <c r="G29" s="1" t="s">
        <v>98</v>
      </c>
      <c r="H29" s="1" t="s">
        <v>109</v>
      </c>
      <c r="J29" s="1" t="s">
        <v>998</v>
      </c>
    </row>
    <row r="30">
      <c r="A30" s="1" t="s">
        <v>283</v>
      </c>
      <c r="B30" s="47">
        <v>44804.0</v>
      </c>
      <c r="C30" s="37">
        <v>12.35</v>
      </c>
      <c r="D30" s="1" t="s">
        <v>96</v>
      </c>
      <c r="E30" s="1" t="s">
        <v>105</v>
      </c>
      <c r="F30" s="1" t="s">
        <v>107</v>
      </c>
      <c r="G30" s="1" t="s">
        <v>98</v>
      </c>
      <c r="H30" s="1" t="s">
        <v>1100</v>
      </c>
      <c r="J30" s="1" t="s">
        <v>25</v>
      </c>
    </row>
    <row r="31">
      <c r="A31" s="1" t="s">
        <v>283</v>
      </c>
      <c r="B31" s="47">
        <v>44804.0</v>
      </c>
      <c r="C31" s="37">
        <v>65.97</v>
      </c>
      <c r="D31" s="1" t="s">
        <v>96</v>
      </c>
      <c r="E31" s="1" t="s">
        <v>105</v>
      </c>
      <c r="F31" s="1" t="s">
        <v>107</v>
      </c>
      <c r="G31" s="1" t="s">
        <v>98</v>
      </c>
      <c r="H31" s="1" t="s">
        <v>1100</v>
      </c>
      <c r="J31" s="1" t="s">
        <v>25</v>
      </c>
    </row>
    <row r="32">
      <c r="A32" s="1" t="s">
        <v>1163</v>
      </c>
      <c r="B32" s="1">
        <v>1.0</v>
      </c>
      <c r="C32" s="37">
        <v>20.0</v>
      </c>
      <c r="D32" s="1" t="s">
        <v>96</v>
      </c>
      <c r="E32" s="1" t="s">
        <v>105</v>
      </c>
      <c r="F32" s="1" t="s">
        <v>107</v>
      </c>
      <c r="G32" s="1" t="s">
        <v>98</v>
      </c>
      <c r="H32" s="1" t="s">
        <v>127</v>
      </c>
      <c r="J32" s="1" t="s">
        <v>18</v>
      </c>
    </row>
    <row r="33">
      <c r="A33" s="1" t="s">
        <v>825</v>
      </c>
      <c r="B33" s="1">
        <v>1.0</v>
      </c>
      <c r="C33" s="37">
        <v>78.11</v>
      </c>
      <c r="D33" s="1" t="s">
        <v>96</v>
      </c>
      <c r="E33" s="1" t="s">
        <v>105</v>
      </c>
      <c r="F33" s="1" t="s">
        <v>107</v>
      </c>
      <c r="G33" s="1" t="s">
        <v>98</v>
      </c>
      <c r="H33" s="1" t="s">
        <v>127</v>
      </c>
      <c r="J33" s="1" t="s">
        <v>18</v>
      </c>
    </row>
    <row r="34">
      <c r="A34" s="1" t="s">
        <v>825</v>
      </c>
      <c r="B34" s="1">
        <v>1.0</v>
      </c>
      <c r="C34" s="37">
        <v>30.0</v>
      </c>
      <c r="D34" s="1" t="s">
        <v>96</v>
      </c>
      <c r="E34" s="1" t="s">
        <v>105</v>
      </c>
      <c r="F34" s="1" t="s">
        <v>107</v>
      </c>
      <c r="G34" s="1" t="s">
        <v>98</v>
      </c>
      <c r="H34" s="1" t="s">
        <v>127</v>
      </c>
      <c r="J34" s="1" t="s">
        <v>18</v>
      </c>
    </row>
    <row r="35">
      <c r="A35" s="1" t="s">
        <v>863</v>
      </c>
      <c r="B35" s="1">
        <v>1.0</v>
      </c>
      <c r="C35" s="37">
        <v>48.36</v>
      </c>
      <c r="D35" s="1" t="s">
        <v>96</v>
      </c>
      <c r="E35" s="1" t="s">
        <v>105</v>
      </c>
      <c r="F35" s="1" t="s">
        <v>107</v>
      </c>
      <c r="G35" s="1" t="s">
        <v>98</v>
      </c>
      <c r="H35" s="1" t="s">
        <v>129</v>
      </c>
      <c r="J35" s="1" t="s">
        <v>35</v>
      </c>
    </row>
    <row r="36">
      <c r="A36" s="1" t="s">
        <v>1158</v>
      </c>
      <c r="B36" s="1">
        <v>2.0</v>
      </c>
      <c r="C36" s="37">
        <v>70.0</v>
      </c>
      <c r="D36" s="1" t="s">
        <v>96</v>
      </c>
      <c r="E36" s="1" t="s">
        <v>105</v>
      </c>
      <c r="F36" s="1" t="s">
        <v>107</v>
      </c>
      <c r="G36" s="1" t="s">
        <v>98</v>
      </c>
      <c r="H36" s="1" t="s">
        <v>32</v>
      </c>
      <c r="J36" s="1" t="s">
        <v>1159</v>
      </c>
    </row>
    <row r="37">
      <c r="A37" s="1" t="s">
        <v>827</v>
      </c>
      <c r="B37" s="1">
        <v>2.0</v>
      </c>
      <c r="C37" s="37">
        <v>23.0</v>
      </c>
      <c r="D37" s="1" t="s">
        <v>96</v>
      </c>
      <c r="E37" s="1" t="s">
        <v>105</v>
      </c>
      <c r="F37" s="1" t="s">
        <v>107</v>
      </c>
      <c r="G37" s="1" t="s">
        <v>98</v>
      </c>
      <c r="H37" s="1" t="s">
        <v>996</v>
      </c>
      <c r="J37" s="1" t="s">
        <v>996</v>
      </c>
    </row>
    <row r="38">
      <c r="A38" s="1" t="s">
        <v>1164</v>
      </c>
      <c r="B38" s="1">
        <v>3.0</v>
      </c>
      <c r="C38" s="37">
        <v>46.97</v>
      </c>
      <c r="D38" s="1" t="s">
        <v>96</v>
      </c>
      <c r="E38" s="1" t="s">
        <v>105</v>
      </c>
      <c r="F38" s="1" t="s">
        <v>107</v>
      </c>
      <c r="G38" s="1" t="s">
        <v>98</v>
      </c>
      <c r="H38" s="1" t="s">
        <v>32</v>
      </c>
      <c r="J38" s="1" t="s">
        <v>1165</v>
      </c>
    </row>
    <row r="39">
      <c r="A39" s="1" t="s">
        <v>825</v>
      </c>
      <c r="B39" s="1">
        <v>8.0</v>
      </c>
      <c r="C39" s="37">
        <v>20.0</v>
      </c>
      <c r="D39" s="1" t="s">
        <v>96</v>
      </c>
      <c r="E39" s="1" t="s">
        <v>105</v>
      </c>
      <c r="F39" s="1" t="s">
        <v>107</v>
      </c>
      <c r="G39" s="1" t="s">
        <v>98</v>
      </c>
      <c r="H39" s="1" t="s">
        <v>127</v>
      </c>
      <c r="J39" s="1" t="s">
        <v>18</v>
      </c>
    </row>
    <row r="40">
      <c r="A40" s="1" t="s">
        <v>825</v>
      </c>
      <c r="B40" s="1">
        <v>8.0</v>
      </c>
      <c r="C40" s="37">
        <v>77.0</v>
      </c>
      <c r="D40" s="1" t="s">
        <v>96</v>
      </c>
      <c r="E40" s="1" t="s">
        <v>105</v>
      </c>
      <c r="F40" s="1" t="s">
        <v>107</v>
      </c>
      <c r="G40" s="1" t="s">
        <v>98</v>
      </c>
      <c r="H40" s="1" t="s">
        <v>127</v>
      </c>
      <c r="J40" s="1" t="s">
        <v>18</v>
      </c>
    </row>
    <row r="41">
      <c r="A41" s="1" t="s">
        <v>247</v>
      </c>
      <c r="B41" s="1">
        <v>11.0</v>
      </c>
      <c r="C41" s="37">
        <v>165.51</v>
      </c>
      <c r="D41" s="1" t="s">
        <v>96</v>
      </c>
      <c r="E41" s="1" t="s">
        <v>105</v>
      </c>
      <c r="F41" s="1" t="s">
        <v>107</v>
      </c>
      <c r="G41" s="1" t="s">
        <v>98</v>
      </c>
      <c r="H41" s="1" t="s">
        <v>109</v>
      </c>
      <c r="J41" s="1" t="s">
        <v>29</v>
      </c>
    </row>
    <row r="42">
      <c r="A42" s="1" t="s">
        <v>283</v>
      </c>
      <c r="B42" s="1">
        <v>11.0</v>
      </c>
      <c r="C42" s="37">
        <v>44.88</v>
      </c>
      <c r="D42" s="1" t="s">
        <v>96</v>
      </c>
      <c r="E42" s="1" t="s">
        <v>105</v>
      </c>
      <c r="F42" s="1" t="s">
        <v>107</v>
      </c>
      <c r="G42" s="1" t="s">
        <v>98</v>
      </c>
      <c r="H42" s="1" t="s">
        <v>1100</v>
      </c>
      <c r="J42" s="1" t="s">
        <v>25</v>
      </c>
    </row>
    <row r="43">
      <c r="A43" s="1" t="s">
        <v>165</v>
      </c>
      <c r="B43" s="1">
        <v>11.0</v>
      </c>
      <c r="C43" s="37">
        <v>63.8</v>
      </c>
      <c r="D43" s="1" t="s">
        <v>96</v>
      </c>
      <c r="E43" s="1" t="s">
        <v>105</v>
      </c>
      <c r="F43" s="1" t="s">
        <v>107</v>
      </c>
      <c r="G43" s="1" t="s">
        <v>98</v>
      </c>
      <c r="H43" s="1" t="s">
        <v>109</v>
      </c>
      <c r="J43" s="1" t="s">
        <v>29</v>
      </c>
    </row>
    <row r="44">
      <c r="A44" s="1" t="s">
        <v>249</v>
      </c>
      <c r="B44" s="1">
        <v>11.0</v>
      </c>
      <c r="C44" s="37">
        <v>6.49</v>
      </c>
      <c r="D44" s="1" t="s">
        <v>96</v>
      </c>
      <c r="E44" s="1" t="s">
        <v>105</v>
      </c>
      <c r="F44" s="1" t="s">
        <v>107</v>
      </c>
      <c r="G44" s="1" t="s">
        <v>98</v>
      </c>
      <c r="H44" s="1" t="s">
        <v>1100</v>
      </c>
      <c r="J44" s="1" t="s">
        <v>25</v>
      </c>
    </row>
    <row r="45">
      <c r="A45" s="1" t="s">
        <v>1166</v>
      </c>
      <c r="B45" s="1">
        <v>12.0</v>
      </c>
      <c r="C45" s="37">
        <v>34.9</v>
      </c>
      <c r="D45" s="1" t="s">
        <v>96</v>
      </c>
      <c r="E45" s="1" t="s">
        <v>105</v>
      </c>
      <c r="F45" s="1" t="s">
        <v>1167</v>
      </c>
      <c r="G45" s="1" t="s">
        <v>98</v>
      </c>
      <c r="H45" s="1" t="s">
        <v>109</v>
      </c>
      <c r="J45" s="1" t="s">
        <v>998</v>
      </c>
    </row>
    <row r="46">
      <c r="A46" s="1" t="s">
        <v>825</v>
      </c>
      <c r="B46" s="1">
        <v>14.0</v>
      </c>
      <c r="C46" s="37">
        <v>74.32</v>
      </c>
      <c r="D46" s="1" t="s">
        <v>96</v>
      </c>
      <c r="E46" s="1" t="s">
        <v>105</v>
      </c>
      <c r="F46" s="1" t="s">
        <v>107</v>
      </c>
      <c r="G46" s="1" t="s">
        <v>98</v>
      </c>
      <c r="H46" s="1" t="s">
        <v>127</v>
      </c>
      <c r="J46" s="1" t="s">
        <v>18</v>
      </c>
    </row>
    <row r="47">
      <c r="A47" s="1" t="s">
        <v>1168</v>
      </c>
      <c r="B47" s="1">
        <v>16.0</v>
      </c>
      <c r="C47" s="37">
        <v>90.62</v>
      </c>
      <c r="D47" s="1" t="s">
        <v>96</v>
      </c>
      <c r="E47" s="1" t="s">
        <v>105</v>
      </c>
      <c r="F47" s="1" t="s">
        <v>107</v>
      </c>
      <c r="G47" s="1" t="s">
        <v>98</v>
      </c>
      <c r="H47" s="1" t="s">
        <v>109</v>
      </c>
      <c r="J47" s="1" t="s">
        <v>29</v>
      </c>
    </row>
    <row r="48">
      <c r="A48" s="1" t="s">
        <v>383</v>
      </c>
      <c r="B48" s="1">
        <v>17.0</v>
      </c>
      <c r="C48" s="37">
        <v>57.11</v>
      </c>
      <c r="D48" s="1" t="s">
        <v>96</v>
      </c>
      <c r="E48" s="1" t="s">
        <v>105</v>
      </c>
      <c r="F48" s="1" t="s">
        <v>107</v>
      </c>
      <c r="G48" s="1" t="s">
        <v>98</v>
      </c>
      <c r="H48" s="1" t="s">
        <v>127</v>
      </c>
      <c r="J48" s="1" t="s">
        <v>18</v>
      </c>
    </row>
    <row r="49">
      <c r="A49" s="1" t="s">
        <v>1169</v>
      </c>
      <c r="B49" s="1">
        <v>17.0</v>
      </c>
      <c r="C49" s="37">
        <v>73.36</v>
      </c>
      <c r="D49" s="1" t="s">
        <v>96</v>
      </c>
      <c r="E49" s="1" t="s">
        <v>105</v>
      </c>
      <c r="F49" s="1" t="s">
        <v>107</v>
      </c>
      <c r="G49" s="1" t="s">
        <v>98</v>
      </c>
      <c r="H49" s="1" t="s">
        <v>109</v>
      </c>
      <c r="J49" s="1" t="s">
        <v>29</v>
      </c>
    </row>
    <row r="50">
      <c r="A50" s="1" t="s">
        <v>161</v>
      </c>
      <c r="B50" s="1">
        <v>18.0</v>
      </c>
      <c r="C50" s="37">
        <v>232.7</v>
      </c>
      <c r="D50" s="1" t="s">
        <v>96</v>
      </c>
      <c r="E50" s="1" t="s">
        <v>105</v>
      </c>
      <c r="F50" s="1" t="s">
        <v>107</v>
      </c>
      <c r="G50" s="1" t="s">
        <v>98</v>
      </c>
      <c r="H50" s="1" t="s">
        <v>109</v>
      </c>
      <c r="J50" s="1" t="s">
        <v>29</v>
      </c>
    </row>
    <row r="51">
      <c r="A51" s="1" t="s">
        <v>1170</v>
      </c>
      <c r="B51" s="1">
        <v>18.0</v>
      </c>
      <c r="C51" s="37">
        <v>12.9</v>
      </c>
      <c r="D51" s="1" t="s">
        <v>96</v>
      </c>
      <c r="E51" s="1" t="s">
        <v>105</v>
      </c>
      <c r="F51" s="1" t="s">
        <v>97</v>
      </c>
      <c r="G51" s="1" t="s">
        <v>98</v>
      </c>
      <c r="H51" s="1" t="s">
        <v>996</v>
      </c>
      <c r="J51" s="1" t="s">
        <v>996</v>
      </c>
    </row>
    <row r="52">
      <c r="A52" s="1" t="s">
        <v>1171</v>
      </c>
      <c r="B52" s="1">
        <v>20.0</v>
      </c>
      <c r="C52" s="37">
        <v>9.9</v>
      </c>
      <c r="D52" s="1" t="s">
        <v>96</v>
      </c>
      <c r="E52" s="1" t="s">
        <v>105</v>
      </c>
      <c r="F52" s="1" t="s">
        <v>97</v>
      </c>
      <c r="G52" s="1" t="s">
        <v>98</v>
      </c>
      <c r="H52" s="1" t="s">
        <v>996</v>
      </c>
      <c r="J52" s="1" t="s">
        <v>1172</v>
      </c>
    </row>
    <row r="53">
      <c r="A53" s="1" t="s">
        <v>1173</v>
      </c>
      <c r="B53" s="1">
        <v>20.0</v>
      </c>
      <c r="C53" s="37">
        <v>39.5</v>
      </c>
      <c r="D53" s="1" t="s">
        <v>96</v>
      </c>
      <c r="E53" s="1" t="s">
        <v>105</v>
      </c>
      <c r="F53" s="1" t="s">
        <v>97</v>
      </c>
      <c r="G53" s="1" t="s">
        <v>98</v>
      </c>
      <c r="H53" s="1" t="s">
        <v>32</v>
      </c>
      <c r="J53" s="1" t="s">
        <v>1172</v>
      </c>
    </row>
    <row r="54">
      <c r="A54" s="1" t="s">
        <v>1174</v>
      </c>
      <c r="B54" s="1">
        <v>21.0</v>
      </c>
      <c r="C54" s="37">
        <v>655.69</v>
      </c>
      <c r="D54" s="1" t="s">
        <v>96</v>
      </c>
      <c r="E54" s="1" t="s">
        <v>105</v>
      </c>
      <c r="F54" s="1" t="s">
        <v>1175</v>
      </c>
      <c r="G54" s="1" t="s">
        <v>98</v>
      </c>
      <c r="H54" s="1" t="s">
        <v>32</v>
      </c>
      <c r="J54" s="1" t="s">
        <v>1176</v>
      </c>
      <c r="K54" s="42">
        <v>44621.0</v>
      </c>
      <c r="L54" s="1" t="s">
        <v>101</v>
      </c>
    </row>
    <row r="55">
      <c r="A55" s="1" t="s">
        <v>1177</v>
      </c>
      <c r="B55" s="1">
        <v>21.0</v>
      </c>
      <c r="C55" s="37">
        <v>120.0</v>
      </c>
      <c r="D55" s="1" t="s">
        <v>96</v>
      </c>
      <c r="E55" s="1" t="s">
        <v>105</v>
      </c>
      <c r="F55" s="1" t="s">
        <v>115</v>
      </c>
      <c r="G55" s="1" t="s">
        <v>98</v>
      </c>
      <c r="H55" s="1" t="s">
        <v>32</v>
      </c>
      <c r="J55" s="1" t="s">
        <v>1159</v>
      </c>
    </row>
    <row r="56">
      <c r="A56" s="1" t="s">
        <v>1178</v>
      </c>
      <c r="B56" s="1">
        <v>22.0</v>
      </c>
      <c r="C56" s="37">
        <v>290.0</v>
      </c>
      <c r="D56" s="1" t="s">
        <v>96</v>
      </c>
      <c r="E56" s="1" t="s">
        <v>105</v>
      </c>
      <c r="F56" s="1" t="s">
        <v>1139</v>
      </c>
      <c r="G56" s="1" t="s">
        <v>98</v>
      </c>
      <c r="H56" s="1" t="s">
        <v>109</v>
      </c>
      <c r="J56" s="1" t="s">
        <v>998</v>
      </c>
    </row>
    <row r="57">
      <c r="A57" s="1" t="s">
        <v>1179</v>
      </c>
      <c r="B57" s="1">
        <v>1.0</v>
      </c>
      <c r="C57" s="37">
        <v>10.0</v>
      </c>
      <c r="D57" s="1" t="s">
        <v>96</v>
      </c>
      <c r="E57" s="1" t="s">
        <v>1180</v>
      </c>
      <c r="F57" s="1" t="s">
        <v>107</v>
      </c>
      <c r="G57" s="1" t="s">
        <v>98</v>
      </c>
      <c r="H57" s="1" t="s">
        <v>127</v>
      </c>
      <c r="J57" s="1" t="s">
        <v>1181</v>
      </c>
    </row>
    <row r="58">
      <c r="A58" s="1" t="s">
        <v>271</v>
      </c>
      <c r="B58" s="1">
        <v>2.0</v>
      </c>
      <c r="C58" s="37">
        <v>3.49</v>
      </c>
      <c r="D58" s="1" t="s">
        <v>96</v>
      </c>
      <c r="E58" s="1" t="s">
        <v>1180</v>
      </c>
      <c r="F58" s="1" t="s">
        <v>107</v>
      </c>
      <c r="G58" s="1" t="s">
        <v>98</v>
      </c>
      <c r="H58" s="1" t="s">
        <v>109</v>
      </c>
      <c r="J58" s="1" t="s">
        <v>29</v>
      </c>
    </row>
    <row r="59">
      <c r="A59" s="1" t="s">
        <v>1182</v>
      </c>
      <c r="B59" s="1">
        <v>2.0</v>
      </c>
      <c r="C59" s="37">
        <v>0.03</v>
      </c>
      <c r="D59" s="1" t="s">
        <v>96</v>
      </c>
      <c r="E59" s="1" t="s">
        <v>1180</v>
      </c>
      <c r="F59" s="1" t="s">
        <v>107</v>
      </c>
      <c r="G59" s="1" t="s">
        <v>98</v>
      </c>
      <c r="H59" s="1" t="s">
        <v>109</v>
      </c>
      <c r="J59" s="1" t="s">
        <v>1183</v>
      </c>
    </row>
    <row r="60">
      <c r="A60" s="1" t="s">
        <v>1184</v>
      </c>
      <c r="B60" s="1">
        <v>2.0</v>
      </c>
      <c r="C60" s="37">
        <v>0.05</v>
      </c>
      <c r="D60" s="1" t="s">
        <v>96</v>
      </c>
      <c r="E60" s="1" t="s">
        <v>1180</v>
      </c>
      <c r="F60" s="1" t="s">
        <v>107</v>
      </c>
      <c r="G60" s="1" t="s">
        <v>98</v>
      </c>
      <c r="H60" s="1" t="s">
        <v>109</v>
      </c>
      <c r="J60" s="1" t="s">
        <v>1183</v>
      </c>
    </row>
    <row r="61">
      <c r="A61" s="1" t="s">
        <v>1185</v>
      </c>
      <c r="B61" s="1">
        <v>5.0</v>
      </c>
      <c r="C61" s="37">
        <v>60.0</v>
      </c>
      <c r="D61" s="1" t="s">
        <v>96</v>
      </c>
      <c r="E61" s="1" t="s">
        <v>1180</v>
      </c>
      <c r="F61" s="1" t="s">
        <v>107</v>
      </c>
      <c r="G61" s="1" t="s">
        <v>98</v>
      </c>
      <c r="H61" s="1" t="s">
        <v>109</v>
      </c>
      <c r="J61" s="1" t="s">
        <v>1185</v>
      </c>
    </row>
    <row r="62">
      <c r="A62" s="1" t="s">
        <v>1186</v>
      </c>
      <c r="B62" s="1">
        <v>5.0</v>
      </c>
      <c r="C62" s="37">
        <v>11.97</v>
      </c>
      <c r="D62" s="1" t="s">
        <v>96</v>
      </c>
      <c r="E62" s="1" t="s">
        <v>1180</v>
      </c>
      <c r="F62" s="1" t="s">
        <v>107</v>
      </c>
      <c r="G62" s="1" t="s">
        <v>98</v>
      </c>
      <c r="H62" s="1" t="s">
        <v>109</v>
      </c>
      <c r="J62" s="1" t="s">
        <v>29</v>
      </c>
    </row>
    <row r="63">
      <c r="A63" s="1" t="s">
        <v>1179</v>
      </c>
      <c r="B63" s="1">
        <v>8.0</v>
      </c>
      <c r="C63" s="37">
        <v>10.0</v>
      </c>
      <c r="D63" s="1" t="s">
        <v>96</v>
      </c>
      <c r="E63" s="1" t="s">
        <v>1180</v>
      </c>
      <c r="F63" s="1" t="s">
        <v>107</v>
      </c>
      <c r="G63" s="1" t="s">
        <v>98</v>
      </c>
      <c r="H63" s="1" t="s">
        <v>127</v>
      </c>
      <c r="J63" s="1" t="s">
        <v>1181</v>
      </c>
    </row>
    <row r="64">
      <c r="A64" s="1" t="s">
        <v>1187</v>
      </c>
      <c r="B64" s="1">
        <v>13.0</v>
      </c>
      <c r="C64" s="37">
        <v>460.0</v>
      </c>
      <c r="D64" s="1" t="s">
        <v>96</v>
      </c>
      <c r="E64" s="1" t="s">
        <v>1180</v>
      </c>
      <c r="F64" s="1" t="s">
        <v>103</v>
      </c>
      <c r="G64" s="1" t="s">
        <v>98</v>
      </c>
      <c r="H64" s="1" t="s">
        <v>109</v>
      </c>
      <c r="J64" s="1" t="s">
        <v>1188</v>
      </c>
    </row>
    <row r="65">
      <c r="A65" s="1" t="s">
        <v>1179</v>
      </c>
      <c r="B65" s="1">
        <v>14.0</v>
      </c>
      <c r="C65" s="37">
        <v>10.0</v>
      </c>
      <c r="D65" s="1" t="s">
        <v>96</v>
      </c>
      <c r="E65" s="1" t="s">
        <v>1180</v>
      </c>
      <c r="F65" s="1" t="s">
        <v>107</v>
      </c>
      <c r="G65" s="1" t="s">
        <v>98</v>
      </c>
      <c r="H65" s="1" t="s">
        <v>127</v>
      </c>
      <c r="J65" s="1" t="s">
        <v>1181</v>
      </c>
    </row>
    <row r="66">
      <c r="A66" s="1" t="s">
        <v>1189</v>
      </c>
      <c r="B66" s="1">
        <v>14.0</v>
      </c>
      <c r="C66" s="37">
        <v>50.0</v>
      </c>
      <c r="D66" s="1" t="s">
        <v>96</v>
      </c>
      <c r="E66" s="1" t="s">
        <v>1180</v>
      </c>
      <c r="F66" s="1" t="s">
        <v>115</v>
      </c>
      <c r="G66" s="1" t="s">
        <v>98</v>
      </c>
      <c r="H66" s="1" t="s">
        <v>996</v>
      </c>
      <c r="J66" s="1" t="s">
        <v>1190</v>
      </c>
    </row>
    <row r="67">
      <c r="A67" s="1" t="s">
        <v>1191</v>
      </c>
      <c r="B67" s="1">
        <v>15.0</v>
      </c>
      <c r="C67" s="37">
        <v>71.8</v>
      </c>
      <c r="D67" s="1" t="s">
        <v>96</v>
      </c>
      <c r="E67" s="1" t="s">
        <v>1180</v>
      </c>
      <c r="F67" s="1" t="s">
        <v>107</v>
      </c>
      <c r="G67" s="1" t="s">
        <v>98</v>
      </c>
      <c r="H67" s="1" t="s">
        <v>109</v>
      </c>
      <c r="J67" s="1" t="s">
        <v>1192</v>
      </c>
    </row>
    <row r="68">
      <c r="A68" s="1" t="s">
        <v>1179</v>
      </c>
      <c r="B68" s="1">
        <v>15.0</v>
      </c>
      <c r="C68" s="37">
        <v>20.0</v>
      </c>
      <c r="D68" s="1" t="s">
        <v>96</v>
      </c>
      <c r="E68" s="1" t="s">
        <v>1180</v>
      </c>
      <c r="F68" s="1" t="s">
        <v>107</v>
      </c>
      <c r="G68" s="1" t="s">
        <v>98</v>
      </c>
      <c r="H68" s="1" t="s">
        <v>127</v>
      </c>
      <c r="J68" s="1" t="s">
        <v>1181</v>
      </c>
    </row>
    <row r="69">
      <c r="A69" s="1" t="s">
        <v>1193</v>
      </c>
      <c r="B69" s="1">
        <v>23.0</v>
      </c>
      <c r="C69" s="37">
        <v>79.0</v>
      </c>
      <c r="D69" s="1" t="s">
        <v>96</v>
      </c>
      <c r="E69" s="1" t="s">
        <v>1180</v>
      </c>
      <c r="F69" s="1" t="s">
        <v>1139</v>
      </c>
      <c r="G69" s="1" t="s">
        <v>98</v>
      </c>
      <c r="H69" s="1" t="s">
        <v>109</v>
      </c>
      <c r="J69" s="1" t="s">
        <v>998</v>
      </c>
    </row>
    <row r="70">
      <c r="A70" s="1" t="s">
        <v>1194</v>
      </c>
      <c r="B70" s="1">
        <v>21.0</v>
      </c>
      <c r="C70" s="37">
        <v>30.0</v>
      </c>
      <c r="D70" s="1" t="s">
        <v>96</v>
      </c>
      <c r="E70" s="1" t="s">
        <v>156</v>
      </c>
      <c r="F70" s="1" t="s">
        <v>115</v>
      </c>
      <c r="G70" s="1" t="s">
        <v>118</v>
      </c>
      <c r="H70" s="1" t="s">
        <v>32</v>
      </c>
      <c r="J70" s="1" t="s">
        <v>1159</v>
      </c>
    </row>
    <row r="71">
      <c r="A71" s="1" t="s">
        <v>1195</v>
      </c>
      <c r="B71" s="1">
        <v>17.0</v>
      </c>
      <c r="C71" s="37">
        <v>97.0</v>
      </c>
      <c r="D71" s="1" t="s">
        <v>96</v>
      </c>
      <c r="E71" s="1" t="s">
        <v>1180</v>
      </c>
      <c r="F71" s="1" t="s">
        <v>107</v>
      </c>
      <c r="G71" s="1" t="s">
        <v>118</v>
      </c>
      <c r="H71" s="1" t="s">
        <v>109</v>
      </c>
      <c r="J71" s="1" t="s">
        <v>922</v>
      </c>
    </row>
    <row r="72">
      <c r="A72" s="1" t="s">
        <v>1196</v>
      </c>
      <c r="B72" s="1">
        <v>21.0</v>
      </c>
      <c r="C72" s="37">
        <v>123.0</v>
      </c>
      <c r="D72" s="1" t="s">
        <v>96</v>
      </c>
      <c r="E72" s="1" t="s">
        <v>1180</v>
      </c>
      <c r="F72" s="1" t="s">
        <v>107</v>
      </c>
      <c r="G72" s="1" t="s">
        <v>118</v>
      </c>
      <c r="H72" s="1" t="s">
        <v>32</v>
      </c>
      <c r="J72" s="1" t="s">
        <v>1159</v>
      </c>
    </row>
    <row r="75">
      <c r="A75" s="1" t="s">
        <v>50</v>
      </c>
      <c r="C75" s="8">
        <f>SUM(C2:C72)</f>
        <v>10366.5</v>
      </c>
    </row>
    <row r="77"/>
    <row r="78"/>
    <row r="79"/>
    <row r="80"/>
    <row r="81"/>
    <row r="82"/>
    <row r="83"/>
    <row r="84"/>
    <row r="86"/>
    <row r="87"/>
    <row r="88"/>
    <row r="89"/>
    <row r="90"/>
    <row r="91"/>
    <row r="92"/>
    <row r="93"/>
    <row r="94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30">
      <c r="A130" s="14" t="s">
        <v>87</v>
      </c>
      <c r="B130" s="14" t="s">
        <v>237</v>
      </c>
    </row>
    <row r="131">
      <c r="A131" s="14" t="s">
        <v>49</v>
      </c>
      <c r="B131" s="8">
        <v>3983.0</v>
      </c>
    </row>
    <row r="132">
      <c r="A132" s="14" t="s">
        <v>105</v>
      </c>
      <c r="B132" s="8">
        <v>4653.73</v>
      </c>
    </row>
    <row r="133">
      <c r="A133" s="14" t="s">
        <v>1180</v>
      </c>
      <c r="B133" s="8">
        <v>1006.3399999999999</v>
      </c>
    </row>
    <row r="134">
      <c r="A134" s="14" t="s">
        <v>114</v>
      </c>
      <c r="B134" s="8">
        <v>99.0</v>
      </c>
    </row>
    <row r="135">
      <c r="A135" s="14" t="s">
        <v>117</v>
      </c>
      <c r="B135" s="8">
        <v>594.4300000000001</v>
      </c>
    </row>
    <row r="136">
      <c r="A136" s="14" t="s">
        <v>156</v>
      </c>
      <c r="B136" s="8">
        <v>30.0</v>
      </c>
    </row>
    <row r="137">
      <c r="A137" s="14" t="s">
        <v>238</v>
      </c>
      <c r="B137" s="8">
        <v>10366.499999999995</v>
      </c>
    </row>
  </sheetData>
  <autoFilter ref="$A$1:$BV$72"/>
  <drawing r:id="rId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5"/>
  </cols>
  <sheetData>
    <row r="1">
      <c r="A1" s="57" t="s">
        <v>607</v>
      </c>
      <c r="B1" s="57" t="s">
        <v>84</v>
      </c>
      <c r="C1" s="57" t="s">
        <v>85</v>
      </c>
      <c r="D1" s="57" t="s">
        <v>86</v>
      </c>
      <c r="E1" s="57" t="s">
        <v>87</v>
      </c>
      <c r="F1" s="57" t="s">
        <v>88</v>
      </c>
      <c r="G1" s="57" t="s">
        <v>89</v>
      </c>
      <c r="H1" s="57" t="s">
        <v>92</v>
      </c>
      <c r="I1" s="57" t="s">
        <v>91</v>
      </c>
      <c r="J1" s="57" t="s">
        <v>1152</v>
      </c>
      <c r="K1" s="58"/>
      <c r="L1" s="57" t="s">
        <v>93</v>
      </c>
    </row>
    <row r="2">
      <c r="A2" s="1" t="s">
        <v>95</v>
      </c>
      <c r="B2" s="1">
        <v>5.0</v>
      </c>
      <c r="C2" s="37">
        <f>685+85</f>
        <v>770</v>
      </c>
      <c r="D2" s="1" t="s">
        <v>96</v>
      </c>
      <c r="E2" s="1" t="s">
        <v>49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14</v>
      </c>
      <c r="L2" s="1" t="s">
        <v>101</v>
      </c>
      <c r="M2" s="1">
        <v>603.0</v>
      </c>
    </row>
    <row r="3">
      <c r="A3" s="1" t="s">
        <v>102</v>
      </c>
      <c r="B3" s="1">
        <v>7.0</v>
      </c>
      <c r="C3" s="37">
        <v>1566.0</v>
      </c>
      <c r="D3" s="1" t="s">
        <v>96</v>
      </c>
      <c r="E3" s="1" t="s">
        <v>49</v>
      </c>
      <c r="F3" s="1" t="s">
        <v>103</v>
      </c>
      <c r="G3" s="1" t="s">
        <v>98</v>
      </c>
      <c r="H3" s="1" t="s">
        <v>99</v>
      </c>
      <c r="I3" s="1" t="s">
        <v>100</v>
      </c>
      <c r="J3" s="1" t="s">
        <v>14</v>
      </c>
      <c r="L3" s="1" t="s">
        <v>101</v>
      </c>
      <c r="M3" s="1">
        <v>800.0</v>
      </c>
    </row>
    <row r="4">
      <c r="A4" s="1" t="s">
        <v>609</v>
      </c>
      <c r="B4" s="1">
        <v>26.0</v>
      </c>
      <c r="C4" s="37">
        <v>889.0</v>
      </c>
      <c r="D4" s="1" t="s">
        <v>112</v>
      </c>
      <c r="E4" s="1" t="s">
        <v>49</v>
      </c>
      <c r="F4" s="1" t="s">
        <v>115</v>
      </c>
      <c r="G4" s="1" t="s">
        <v>108</v>
      </c>
      <c r="H4" s="1" t="s">
        <v>99</v>
      </c>
      <c r="I4" s="1" t="s">
        <v>100</v>
      </c>
      <c r="J4" s="1" t="s">
        <v>14</v>
      </c>
      <c r="L4" s="1" t="s">
        <v>101</v>
      </c>
      <c r="M4" s="1">
        <v>0.0</v>
      </c>
    </row>
    <row r="5">
      <c r="A5" s="1" t="s">
        <v>111</v>
      </c>
      <c r="B5" s="1">
        <v>11.0</v>
      </c>
      <c r="C5" s="37">
        <v>99.0</v>
      </c>
      <c r="E5" s="1" t="s">
        <v>49</v>
      </c>
      <c r="M5" s="1">
        <v>99.0</v>
      </c>
    </row>
    <row r="6">
      <c r="A6" s="1" t="s">
        <v>610</v>
      </c>
      <c r="B6" s="1">
        <v>20.0</v>
      </c>
      <c r="C6" s="37">
        <v>99.0</v>
      </c>
      <c r="E6" s="1" t="s">
        <v>1197</v>
      </c>
      <c r="M6" s="1">
        <v>99.0</v>
      </c>
    </row>
    <row r="7">
      <c r="A7" s="1" t="s">
        <v>116</v>
      </c>
      <c r="B7" s="1">
        <v>30.0</v>
      </c>
      <c r="C7" s="37">
        <v>13.95</v>
      </c>
      <c r="E7" s="1" t="s">
        <v>1198</v>
      </c>
      <c r="M7" s="1">
        <v>13.95</v>
      </c>
    </row>
    <row r="8">
      <c r="A8" s="1" t="s">
        <v>121</v>
      </c>
      <c r="B8" s="1">
        <v>29.0</v>
      </c>
      <c r="C8" s="37">
        <v>14.9</v>
      </c>
      <c r="E8" s="1" t="s">
        <v>1198</v>
      </c>
      <c r="M8" s="14">
        <f>119.9/12</f>
        <v>9.991666667</v>
      </c>
    </row>
    <row r="9">
      <c r="A9" s="1" t="s">
        <v>122</v>
      </c>
      <c r="B9" s="1">
        <v>2.0</v>
      </c>
      <c r="C9" s="37">
        <v>9.9</v>
      </c>
      <c r="E9" s="1" t="s">
        <v>1198</v>
      </c>
      <c r="M9" s="1">
        <v>9.9</v>
      </c>
    </row>
    <row r="10">
      <c r="A10" s="1" t="s">
        <v>123</v>
      </c>
      <c r="B10" s="1">
        <v>15.0</v>
      </c>
      <c r="C10" s="37">
        <v>89.9</v>
      </c>
      <c r="E10" s="1" t="s">
        <v>1198</v>
      </c>
      <c r="M10" s="1">
        <v>89.9</v>
      </c>
    </row>
    <row r="11">
      <c r="A11" s="1" t="s">
        <v>124</v>
      </c>
      <c r="B11" s="1">
        <v>8.0</v>
      </c>
      <c r="C11" s="37">
        <v>39.9</v>
      </c>
      <c r="E11" s="1" t="s">
        <v>1198</v>
      </c>
      <c r="M11" s="1">
        <v>39.9</v>
      </c>
    </row>
    <row r="12">
      <c r="A12" s="1" t="s">
        <v>125</v>
      </c>
      <c r="B12" s="1">
        <v>15.0</v>
      </c>
      <c r="C12" s="37">
        <v>44.99</v>
      </c>
      <c r="E12" s="1" t="s">
        <v>1198</v>
      </c>
      <c r="M12" s="14">
        <f>169.9/12</f>
        <v>14.15833333</v>
      </c>
    </row>
    <row r="13">
      <c r="A13" s="1" t="s">
        <v>126</v>
      </c>
      <c r="B13" s="1">
        <v>27.0</v>
      </c>
      <c r="C13" s="37">
        <v>206.99</v>
      </c>
      <c r="E13" s="1" t="s">
        <v>1198</v>
      </c>
      <c r="M13" s="1">
        <v>236.0</v>
      </c>
    </row>
    <row r="14">
      <c r="A14" s="1" t="s">
        <v>128</v>
      </c>
      <c r="B14" s="1">
        <v>2.0</v>
      </c>
      <c r="C14" s="37">
        <v>37.9</v>
      </c>
      <c r="E14" s="1" t="s">
        <v>1198</v>
      </c>
      <c r="M14" s="1">
        <v>37.9</v>
      </c>
    </row>
    <row r="15">
      <c r="A15" s="1" t="s">
        <v>130</v>
      </c>
      <c r="B15" s="1">
        <v>27.0</v>
      </c>
      <c r="C15" s="37">
        <v>109.0</v>
      </c>
      <c r="E15" s="1" t="s">
        <v>1198</v>
      </c>
      <c r="M15" s="1">
        <v>109.0</v>
      </c>
    </row>
    <row r="16">
      <c r="A16" s="1" t="s">
        <v>1174</v>
      </c>
      <c r="B16" s="1">
        <v>21.0</v>
      </c>
      <c r="C16" s="37">
        <v>655.69</v>
      </c>
      <c r="E16" s="1" t="s">
        <v>1199</v>
      </c>
      <c r="M16" s="1">
        <v>0.0</v>
      </c>
    </row>
    <row r="17">
      <c r="A17" s="1" t="s">
        <v>1200</v>
      </c>
      <c r="C17" s="1">
        <f>49.66+50+30</f>
        <v>129.66</v>
      </c>
      <c r="D17" s="1" t="s">
        <v>1201</v>
      </c>
      <c r="E17" s="1" t="s">
        <v>1199</v>
      </c>
      <c r="M17" s="1">
        <v>200.0</v>
      </c>
    </row>
    <row r="18">
      <c r="A18" s="1" t="s">
        <v>1202</v>
      </c>
      <c r="C18" s="1">
        <v>400.0</v>
      </c>
      <c r="D18" s="1" t="s">
        <v>1203</v>
      </c>
      <c r="E18" s="1" t="s">
        <v>49</v>
      </c>
      <c r="M18" s="1">
        <v>350.0</v>
      </c>
    </row>
    <row r="19">
      <c r="A19" s="1" t="s">
        <v>1204</v>
      </c>
      <c r="C19" s="1">
        <v>60.0</v>
      </c>
    </row>
    <row r="20">
      <c r="A20" s="1" t="s">
        <v>165</v>
      </c>
      <c r="C20" s="1">
        <v>58.16</v>
      </c>
    </row>
    <row r="21">
      <c r="A21" s="1" t="s">
        <v>280</v>
      </c>
      <c r="C21" s="1">
        <v>16.99</v>
      </c>
    </row>
    <row r="22">
      <c r="A22" s="1" t="s">
        <v>765</v>
      </c>
      <c r="C22" s="1">
        <v>32.03</v>
      </c>
    </row>
    <row r="23">
      <c r="A23" s="1" t="s">
        <v>29</v>
      </c>
      <c r="C23" s="1">
        <v>116.34</v>
      </c>
    </row>
    <row r="25">
      <c r="M25" s="1">
        <v>0.0</v>
      </c>
    </row>
    <row r="26">
      <c r="C26" s="8">
        <f>SUM(C2:C25)</f>
        <v>5459.3</v>
      </c>
      <c r="M26" s="14">
        <f>SUM(M2:M25)</f>
        <v>2711.7</v>
      </c>
    </row>
    <row r="28">
      <c r="B28" s="1" t="s">
        <v>1205</v>
      </c>
      <c r="C28" s="14">
        <f>8492.44</f>
        <v>8492.44</v>
      </c>
      <c r="L28" s="1" t="s">
        <v>1205</v>
      </c>
      <c r="M28" s="14">
        <f>8492.44</f>
        <v>8492.44</v>
      </c>
    </row>
    <row r="29">
      <c r="B29" s="1" t="s">
        <v>63</v>
      </c>
      <c r="C29" s="8">
        <f>C28-C26</f>
        <v>3033.14</v>
      </c>
      <c r="L29" s="1" t="s">
        <v>63</v>
      </c>
      <c r="M29" s="14">
        <f>M28-M26</f>
        <v>5780.74</v>
      </c>
    </row>
  </sheetData>
  <drawing r:id="rId1"/>
</worksheet>
</file>